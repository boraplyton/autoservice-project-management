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7856c016d946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бзор" sheetId="1" r:id="R893642a946d9493c"/>
    <x:sheet xmlns:r="http://schemas.openxmlformats.org/officeDocument/2006/relationships" name="Критерии МАИ" sheetId="2" r:id="Rdc65ab5370df45b2"/>
    <x:sheet xmlns:r="http://schemas.openxmlformats.org/officeDocument/2006/relationships" name="Локальные приоритеты" sheetId="3" r:id="Rbe18811ea45f40c9"/>
    <x:sheet xmlns:r="http://schemas.openxmlformats.org/officeDocument/2006/relationships" name="Результат МАИ" sheetId="4" r:id="R55202a0e5ae24e8f"/>
    <x:sheet xmlns:r="http://schemas.openxmlformats.org/officeDocument/2006/relationships" name="Эксперты — статус" sheetId="5" r:id="R8ad0c16aee3449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17C83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263D"/>
      </x:patternFill>
    </x:fill>
    <x:fill>
      <x:patternFill patternType="solid">
        <x:fgColor rgb="FFE8F5F4"/>
      </x:patternFill>
    </x:fill>
    <x:fill>
      <x:patternFill patternType="solid">
        <x:fgColor rgb="FF117C83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bb50c37be34568" /><Relationship Type="http://schemas.openxmlformats.org/officeDocument/2006/relationships/theme" Target="/xl/theme/theme1.xml" Id="R1b741ad05eb3401d" /><Relationship Type="http://schemas.openxmlformats.org/officeDocument/2006/relationships/sharedStrings" Target="/xl/sharedStrings.xml" Id="Rab0145bd457842fb" /><Relationship Type="http://schemas.openxmlformats.org/officeDocument/2006/relationships/worksheet" Target="/xl/worksheets/sheet1.xml" Id="R893642a946d9493c" /><Relationship Type="http://schemas.openxmlformats.org/officeDocument/2006/relationships/worksheet" Target="/xl/worksheets/sheet2.xml" Id="Rdc65ab5370df45b2" /><Relationship Type="http://schemas.openxmlformats.org/officeDocument/2006/relationships/worksheet" Target="/xl/worksheets/sheet3.xml" Id="Rbe18811ea45f40c9" /><Relationship Type="http://schemas.openxmlformats.org/officeDocument/2006/relationships/worksheet" Target="/xl/worksheets/sheet4.xml" Id="R55202a0e5ae24e8f" /><Relationship Type="http://schemas.openxmlformats.org/officeDocument/2006/relationships/worksheet" Target="/xl/worksheets/sheet5.xml" Id="R8ad0c16aee3449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3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5" customHeight="1">
      <x:c r="A1" s="4" t="str">
        <x:v>МАИ | Выбор концепции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26" customHeight="1">
      <x:c r="A3" s="9" t="str">
        <x:v>Фаза 1 · Роде · Солопанов · Пухов</x:v>
      </x:c>
      <x:c r="B3" s="9"/>
      <x:c r="C3" s="9"/>
      <x:c r="D3" s="9"/>
      <x:c r="E3" s="9"/>
      <x:c r="F3" s="9"/>
      <x:c r="G3" s="9"/>
      <x:c r="H3" s="9"/>
    </x:row>
    <x:row r="5" ht="26" customHeight="1">
      <x:c r="A5" s="12" t="str">
        <x:v>СТРУКТУРА РЕШЕНИЯ</x:v>
      </x:c>
      <x:c r="B5" s="12"/>
      <x:c r="C5" s="12"/>
      <x:c r="D5" s="12"/>
      <x:c r="E5" s="12"/>
      <x:c r="F5" s="12"/>
      <x:c r="G5" s="12"/>
      <x:c r="H5" s="12"/>
    </x:row>
    <x:row r="6">
      <x:c r="A6" t="str">
        <x:v>Цель → пять критериев C1–C5 → четыре альтернативы A1–A4.</x:v>
      </x:c>
    </x:row>
    <x:row r="8">
      <x:c r="A8" t="str">
        <x:v>A1 — ИС автосервиса</x:v>
      </x:c>
    </x:row>
    <x:row r="9">
      <x:c r="A9" t="str">
        <x:v>A2 — Бронирование переговорных</x:v>
      </x:c>
    </x:row>
    <x:row r="10">
      <x:c r="A10" t="str">
        <x:v>A3 — Студенческие проекты</x:v>
      </x:c>
    </x:row>
    <x:row r="11">
      <x:c r="A11" t="str">
        <x:v>A4 — Учёт оборудования</x:v>
      </x:c>
    </x:row>
    <x:row r="14" ht="26" customHeight="1">
      <x:c r="A14" s="12" t="str">
        <x:v>ПРОИСХОЖДЕНИЕ ОЦЕНОК</x:v>
      </x:c>
      <x:c r="B14" s="12"/>
      <x:c r="C14" s="12"/>
      <x:c r="D14" s="12"/>
      <x:c r="E14" s="12"/>
      <x:c r="F14" s="12"/>
      <x:c r="G14" s="12"/>
      <x:c r="H14" s="12"/>
    </x:row>
    <x:row r="15">
      <x:c r="A15" t="str">
        <x:v>Перенесена коллективная матрица и локальные приоритеты из отчёта Фазы 1.</x:v>
      </x:c>
    </x:row>
    <x:row r="16">
      <x:c r="A16" t="str">
        <x:v>Индивидуальные матрицы экспертов в исходном отчёте отсутствуют.</x:v>
      </x:c>
    </x:row>
    <x:row r="17">
      <x:c r="A17" t="str">
        <x:v>Не восстановлены выдумыванием; при необходимости команда заполняет их самостоятельно.</x:v>
      </x:c>
    </x:row>
  </x:sheetData>
  <x:mergeCells>
    <x:mergeCell ref="A1:H2"/>
    <x:mergeCell ref="A3:H3"/>
    <x:mergeCell ref="A5:H5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4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38" hidden="0" customWidth="1"/>
  </x:cols>
  <x:sheetData>
    <x:row r="1" ht="25" customHeight="1">
      <x:c r="A1" s="4" t="str">
        <x:v>Коллективная матрица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26" customHeight="1">
      <x:c r="A3" s="9" t="str">
        <x:v>Коллективные попарные сравнения критериев</x:v>
      </x:c>
      <x:c r="B3" s="9"/>
      <x:c r="C3" s="9"/>
      <x:c r="D3" s="9"/>
      <x:c r="E3" s="9"/>
      <x:c r="F3" s="9"/>
      <x:c r="G3" s="9"/>
      <x:c r="H3" s="9"/>
    </x:row>
    <x:row r="5" ht="29" customHeight="1">
      <x:c r="A5" s="16" t="str">
        <x:v>Критерий</x:v>
      </x:c>
      <x:c r="B5" s="16" t="str">
        <x:v>C1</x:v>
      </x:c>
      <x:c r="C5" s="16" t="str">
        <x:v>C2</x:v>
      </x:c>
      <x:c r="D5" s="16" t="str">
        <x:v>C3</x:v>
      </x:c>
      <x:c r="E5" s="16" t="str">
        <x:v>C4</x:v>
      </x:c>
      <x:c r="F5" s="16" t="str">
        <x:v>C5</x:v>
      </x:c>
      <x:c r="H5" s="16" t="str">
        <x:v>Критерий</x:v>
      </x:c>
      <x:c r="I5" s="16" t="str">
        <x:v>Вес по отчёту</x:v>
      </x:c>
    </x:row>
    <x:row r="6">
      <x:c r="A6" t="str">
        <x:v>C1 — Простота реализации</x:v>
      </x:c>
      <x:c r="B6" t="n">
        <x:v>1</x:v>
      </x:c>
      <x:c r="C6" t="n">
        <x:v>0.794</x:v>
      </x:c>
      <x:c r="D6" t="n">
        <x:v>1.817</x:v>
      </x:c>
      <x:c r="E6" t="n">
        <x:v>1.145</x:v>
      </x:c>
      <x:c r="F6" t="n">
        <x:v>1.587</x:v>
      </x:c>
      <x:c r="H6" t="str">
        <x:v>C1 — Простота реализации</x:v>
      </x:c>
      <x:c r="I6" t="n">
        <x:v>0.232</x:v>
      </x:c>
    </x:row>
    <x:row r="7">
      <x:c r="A7" t="str">
        <x:v>C2 — Практическая полезность</x:v>
      </x:c>
      <x:c r="B7" t="n">
        <x:v>1.26</x:v>
      </x:c>
      <x:c r="C7" t="n">
        <x:v>1</x:v>
      </x:c>
      <x:c r="D7" t="n">
        <x:v>2.289</x:v>
      </x:c>
      <x:c r="E7" t="n">
        <x:v>1.587</x:v>
      </x:c>
      <x:c r="F7" t="n">
        <x:v>1.817</x:v>
      </x:c>
      <x:c r="H7" t="str">
        <x:v>C2 — Практическая полезность</x:v>
      </x:c>
      <x:c r="I7" t="n">
        <x:v>0.293</x:v>
      </x:c>
    </x:row>
    <x:row r="8">
      <x:c r="A8" t="str">
        <x:v>C3 — Возможность декомпозиции</x:v>
      </x:c>
      <x:c r="B8" t="n">
        <x:v>0.55</x:v>
      </x:c>
      <x:c r="C8" t="n">
        <x:v>0.437</x:v>
      </x:c>
      <x:c r="D8" t="n">
        <x:v>1</x:v>
      </x:c>
      <x:c r="E8" t="n">
        <x:v>0.693</x:v>
      </x:c>
      <x:c r="F8" t="n">
        <x:v>0.794</x:v>
      </x:c>
      <x:c r="H8" t="str">
        <x:v>C3 — Возможность декомпозиции</x:v>
      </x:c>
      <x:c r="I8" t="n">
        <x:v>0.128</x:v>
      </x:c>
    </x:row>
    <x:row r="9">
      <x:c r="A9" t="str">
        <x:v>C4 — Возможность развития</x:v>
      </x:c>
      <x:c r="B9" t="n">
        <x:v>0.874</x:v>
      </x:c>
      <x:c r="C9" t="n">
        <x:v>0.63</x:v>
      </x:c>
      <x:c r="D9" t="n">
        <x:v>1.442</x:v>
      </x:c>
      <x:c r="E9" t="n">
        <x:v>1</x:v>
      </x:c>
      <x:c r="F9" t="n">
        <x:v>1.26</x:v>
      </x:c>
      <x:c r="H9" t="str">
        <x:v>C4 — Возможность развития</x:v>
      </x:c>
      <x:c r="I9" t="n">
        <x:v>0.192</x:v>
      </x:c>
    </x:row>
    <x:row r="10">
      <x:c r="A10" t="str">
        <x:v>C5 — Трудоёмкость</x:v>
      </x:c>
      <x:c r="B10" t="n">
        <x:v>0.63</x:v>
      </x:c>
      <x:c r="C10" t="n">
        <x:v>0.55</x:v>
      </x:c>
      <x:c r="D10" t="n">
        <x:v>1.26</x:v>
      </x:c>
      <x:c r="E10" t="n">
        <x:v>0.794</x:v>
      </x:c>
      <x:c r="F10" t="n">
        <x:v>1</x:v>
      </x:c>
      <x:c r="H10" t="str">
        <x:v>C5 — Трудоёмкость</x:v>
      </x:c>
      <x:c r="I10" t="n">
        <x:v>0.155</x:v>
      </x:c>
    </x:row>
    <x:row r="11">
      <x:c r="I11" t="n">
        <x:f>SUM(I6:I10)</x:f>
        <x:v>1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3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5" customHeight="1">
      <x:c r="A1" s="4" t="str">
        <x:v>Приоритеты альтернатив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26" customHeight="1">
      <x:c r="A3" s="9" t="str">
        <x:v>Коллективные приоритеты альтернатив по C1–C5</x:v>
      </x:c>
      <x:c r="B3" s="9"/>
      <x:c r="C3" s="9"/>
      <x:c r="D3" s="9"/>
      <x:c r="E3" s="9"/>
      <x:c r="F3" s="9"/>
      <x:c r="G3" s="9"/>
      <x:c r="H3" s="9"/>
    </x:row>
    <x:row r="5" ht="29" customHeight="1">
      <x:c r="A5" s="16" t="str">
        <x:v>Альтернатива</x:v>
      </x:c>
      <x:c r="B5" s="16" t="str">
        <x:v>C1</x:v>
      </x:c>
      <x:c r="C5" s="16" t="str">
        <x:v>C2</x:v>
      </x:c>
      <x:c r="D5" s="16" t="str">
        <x:v>C3</x:v>
      </x:c>
      <x:c r="E5" s="16" t="str">
        <x:v>C4</x:v>
      </x:c>
      <x:c r="F5" s="16" t="str">
        <x:v>C5</x:v>
      </x:c>
    </x:row>
    <x:row r="6">
      <x:c r="A6" t="str">
        <x:v>A1 — ИС автосервиса</x:v>
      </x:c>
      <x:c r="B6" t="n">
        <x:v>0.216</x:v>
      </x:c>
      <x:c r="C6" t="n">
        <x:v>0.406</x:v>
      </x:c>
      <x:c r="D6" t="n">
        <x:v>0.31</x:v>
      </x:c>
      <x:c r="E6" t="n">
        <x:v>0.354</x:v>
      </x:c>
      <x:c r="F6" t="n">
        <x:v>0.11</x:v>
      </x:c>
    </x:row>
    <x:row r="7">
      <x:c r="A7" t="str">
        <x:v>A2 — Бронирование переговорных</x:v>
      </x:c>
      <x:c r="B7" t="n">
        <x:v>0.402</x:v>
      </x:c>
      <x:c r="C7" t="n">
        <x:v>0.124</x:v>
      </x:c>
      <x:c r="D7" t="n">
        <x:v>0.135</x:v>
      </x:c>
      <x:c r="E7" t="n">
        <x:v>0.111</x:v>
      </x:c>
      <x:c r="F7" t="n">
        <x:v>0.512</x:v>
      </x:c>
    </x:row>
    <x:row r="8">
      <x:c r="A8" t="str">
        <x:v>A3 — Студенческие проекты</x:v>
      </x:c>
      <x:c r="B8" t="n">
        <x:v>0.171</x:v>
      </x:c>
      <x:c r="C8" t="n">
        <x:v>0.211</x:v>
      </x:c>
      <x:c r="D8" t="n">
        <x:v>0.303</x:v>
      </x:c>
      <x:c r="E8" t="n">
        <x:v>0.292</x:v>
      </x:c>
      <x:c r="F8" t="n">
        <x:v>0.169</x:v>
      </x:c>
    </x:row>
    <x:row r="9">
      <x:c r="A9" t="str">
        <x:v>A4 — Учёт оборудования</x:v>
      </x:c>
      <x:c r="B9" t="n">
        <x:v>0.211</x:v>
      </x:c>
      <x:c r="C9" t="n">
        <x:v>0.26</x:v>
      </x:c>
      <x:c r="D9" t="n">
        <x:v>0.252</x:v>
      </x:c>
      <x:c r="E9" t="n">
        <x:v>0.243</x:v>
      </x:c>
      <x:c r="F9" t="n">
        <x:v>0.209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3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5" customHeight="1">
      <x:c r="A1" s="4" t="str">
        <x:v>Итог МАИ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26" customHeight="1">
      <x:c r="A3" s="9" t="str">
        <x:v>Глобальный приоритет: сумма произведений веса критерия на локальный приоритет</x:v>
      </x:c>
      <x:c r="B3" s="9"/>
      <x:c r="C3" s="9"/>
      <x:c r="D3" s="9"/>
      <x:c r="E3" s="9"/>
      <x:c r="F3" s="9"/>
      <x:c r="G3" s="9"/>
      <x:c r="H3" s="9"/>
    </x:row>
    <x:row r="5" ht="29" customHeight="1">
      <x:c r="A5" s="16" t="str">
        <x:v>Альтернатива</x:v>
      </x:c>
      <x:c r="B5" s="16" t="str">
        <x:v>Глобальный приоритет</x:v>
      </x:c>
      <x:c r="C5" s="16" t="str">
        <x:v>Место</x:v>
      </x:c>
    </x:row>
    <x:row r="6">
      <x:c r="A6" t="str">
        <x:v>A1 — ИС автосервиса</x:v>
      </x:c>
      <x:c r="B6" s="20" t="n">
        <x:f>'Локальные приоритеты'!B6*'Критерии МАИ'!I6+'Локальные приоритеты'!C6*'Критерии МАИ'!I7+'Локальные приоритеты'!D6*'Критерии МАИ'!I8+'Локальные приоритеты'!E6*'Критерии МАИ'!I9+'Локальные приоритеты'!F6*'Критерии МАИ'!I10</x:f>
        <x:v>0.29376800000000003</x:v>
      </x:c>
      <x:c r="C6" t="n">
        <x:f>RANK(B6,$B$6:$B$9,0)</x:f>
        <x:v>1</x:v>
      </x:c>
    </x:row>
    <x:row r="7">
      <x:c r="A7" t="str">
        <x:v>A2 — Бронирование переговорных</x:v>
      </x:c>
      <x:c r="B7" s="20" t="n">
        <x:f>'Локальные приоритеты'!B7*'Критерии МАИ'!I6+'Локальные приоритеты'!C7*'Критерии МАИ'!I7+'Локальные приоритеты'!D7*'Критерии МАИ'!I8+'Локальные приоритеты'!E7*'Критерии МАИ'!I9+'Локальные приоритеты'!F7*'Критерии МАИ'!I10</x:f>
        <x:v>0.247548</x:v>
      </x:c>
      <x:c r="C7" t="n">
        <x:f>RANK(B7,$B$6:$B$9,0)</x:f>
        <x:v>2</x:v>
      </x:c>
    </x:row>
    <x:row r="8">
      <x:c r="A8" t="str">
        <x:v>A3 — Студенческие проекты</x:v>
      </x:c>
      <x:c r="B8" s="20" t="n">
        <x:f>'Локальные приоритеты'!B8*'Критерии МАИ'!I6+'Локальные приоритеты'!C8*'Критерии МАИ'!I7+'Локальные приоритеты'!D8*'Критерии МАИ'!I8+'Локальные приоритеты'!E8*'Критерии МАИ'!I9+'Локальные приоритеты'!F8*'Критерии МАИ'!I10</x:f>
        <x:v>0.22253799999999999</x:v>
      </x:c>
      <x:c r="C8" t="n">
        <x:f>RANK(B8,$B$6:$B$9,0)</x:f>
        <x:v>4</x:v>
      </x:c>
    </x:row>
    <x:row r="9">
      <x:c r="A9" t="str">
        <x:v>A4 — Учёт оборудования</x:v>
      </x:c>
      <x:c r="B9" s="20" t="n">
        <x:f>'Локальные приоритеты'!B9*'Критерии МАИ'!I6+'Локальные приоритеты'!C9*'Критерии МАИ'!I7+'Локальные приоритеты'!D9*'Критерии МАИ'!I8+'Локальные приоритеты'!E9*'Критерии МАИ'!I9+'Локальные приоритеты'!F9*'Критерии МАИ'!I10</x:f>
        <x:v>0.236439</x:v>
      </x:c>
      <x:c r="C9" t="n">
        <x:f>RANK(B9,$B$6:$B$9,0)</x:f>
        <x:v>3</x:v>
      </x:c>
    </x:row>
    <x:row r="12">
      <x:c r="A12" t="str">
        <x:v>Итог по исходному отчёту: A1 — первое место, P ≈ 0,294.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25" hidden="0" customWidth="1"/>
    <x:col min="3" max="3" width="19" hidden="0" customWidth="1"/>
    <x:col min="4" max="4" width="55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5" customHeight="1">
      <x:c r="A1" s="4" t="str">
        <x:v>Эксперты проекта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26" customHeight="1">
      <x:c r="A3" s="9" t="str">
        <x:v>Состав команды и порядок экспертного оценивания</x:v>
      </x:c>
      <x:c r="B3" s="9"/>
      <x:c r="C3" s="9"/>
      <x:c r="D3" s="9"/>
      <x:c r="E3" s="9"/>
      <x:c r="F3" s="9"/>
      <x:c r="G3" s="9"/>
      <x:c r="H3" s="9"/>
    </x:row>
    <x:row r="4">
      <x:c r="A4"/>
      <x:c r="B4"/>
      <x:c r="C4"/>
      <x:c r="D4"/>
    </x:row>
    <x:row r="5" ht="29" customHeight="1">
      <x:c r="A5" s="16" t="str">
        <x:v>Номер</x:v>
      </x:c>
      <x:c r="B5" s="16" t="str">
        <x:v>Участник</x:v>
      </x:c>
      <x:c r="C5" s="16" t="str">
        <x:v>Роль</x:v>
      </x:c>
      <x:c r="D5" s="16" t="str">
        <x:v>Проект</x:v>
      </x:c>
    </x:row>
    <x:row r="6">
      <x:c r="A6" t="n">
        <x:v>1</x:v>
      </x:c>
      <x:c r="B6" t="str">
        <x:v>Роде</x:v>
      </x:c>
      <x:c r="C6" t="str">
        <x:v>Эксперт</x:v>
      </x:c>
      <x:c r="D6" t="str">
        <x:v>ИС автосервиса</x:v>
      </x:c>
    </x:row>
    <x:row r="7">
      <x:c r="A7" t="n">
        <x:v>2</x:v>
      </x:c>
      <x:c r="B7" t="str">
        <x:v>Солопанов</x:v>
      </x:c>
      <x:c r="C7" t="str">
        <x:v>Эксперт</x:v>
      </x:c>
      <x:c r="D7" t="str">
        <x:v>ИС автосервиса</x:v>
      </x:c>
    </x:row>
    <x:row r="8">
      <x:c r="A8" t="n">
        <x:v>3</x:v>
      </x:c>
      <x:c r="B8" t="str">
        <x:v>Пухов</x:v>
      </x:c>
      <x:c r="C8" t="str">
        <x:v>Эксперт</x:v>
      </x:c>
      <x:c r="D8" t="str">
        <x:v>ИС автосервиса</x:v>
      </x:c>
    </x:row>
  </x:sheetData>
  <x:mergeCells>
    <x:mergeCell ref="A1:H2"/>
    <x:mergeCell ref="A3:H3"/>
  </x:mergeCells>
  <x:pageMargins left="0.7" right="0.7" top="0.75" bottom="0.75" header="0.3" footer="0.3"/>
</x:worksheet>
</file>