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rodemark/Documents/univer/1-semester/autoservice-project-management/phase-1/"/>
    </mc:Choice>
  </mc:AlternateContent>
  <xr:revisionPtr revIDLastSave="0" documentId="13_ncr:1_{6C92BD3D-60AE-634A-ADA1-B1EBEA8E703A}" xr6:coauthVersionLast="47" xr6:coauthVersionMax="47" xr10:uidLastSave="{00000000-0000-0000-0000-000000000000}"/>
  <bookViews>
    <workbookView xWindow="0" yWindow="500" windowWidth="28800" windowHeight="16340" xr2:uid="{00000000-000D-0000-FFFF-FFFF00000000}"/>
  </bookViews>
  <sheets>
    <sheet name="Обзор" sheetId="1" r:id="rId1"/>
    <sheet name="Критерии МАИ" sheetId="2" r:id="rId2"/>
    <sheet name="Локальные приоритеты" sheetId="3" r:id="rId3"/>
    <sheet name="Результат МАИ" sheetId="4" r:id="rId4"/>
    <sheet name="Эксперты — статус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C9" i="4" s="1"/>
  <c r="B8" i="4"/>
  <c r="C8" i="4" s="1"/>
  <c r="B7" i="4"/>
  <c r="C7" i="4" s="1"/>
  <c r="B6" i="4"/>
  <c r="C6" i="4" s="1"/>
  <c r="I11" i="2"/>
</calcChain>
</file>

<file path=xl/sharedStrings.xml><?xml version="1.0" encoding="utf-8"?>
<sst xmlns="http://schemas.openxmlformats.org/spreadsheetml/2006/main" count="68" uniqueCount="44">
  <si>
    <t>МАИ | Выбор концепции</t>
  </si>
  <si>
    <t>Фаза 1 · Роде · Солопанов · Пухов</t>
  </si>
  <si>
    <t>СТРУКТУРА РЕШЕНИЯ</t>
  </si>
  <si>
    <t>Цель → пять критериев C1–C5 → четыре альтернативы A1–A4.</t>
  </si>
  <si>
    <t>A1 — ИС автосервиса</t>
  </si>
  <si>
    <t>A2 — Бронирование переговорных</t>
  </si>
  <si>
    <t>A3 — Студенческие проекты</t>
  </si>
  <si>
    <t>A4 — Учёт оборудования</t>
  </si>
  <si>
    <t>ПРОИСХОЖДЕНИЕ ОЦЕНОК</t>
  </si>
  <si>
    <t>Перенесена коллективная матрица и локальные приоритеты из отчёта Фазы 1.</t>
  </si>
  <si>
    <t>Индивидуальные матрицы экспертов в исходном отчёте отсутствуют.</t>
  </si>
  <si>
    <t>Коллективная матрица</t>
  </si>
  <si>
    <t>Коллективные попарные сравнения критериев</t>
  </si>
  <si>
    <t>Критерий</t>
  </si>
  <si>
    <t>C1</t>
  </si>
  <si>
    <t>C2</t>
  </si>
  <si>
    <t>C3</t>
  </si>
  <si>
    <t>C4</t>
  </si>
  <si>
    <t>C5</t>
  </si>
  <si>
    <t>Вес по отчёту</t>
  </si>
  <si>
    <t>C1 — Простота реализации</t>
  </si>
  <si>
    <t>C2 — Практическая полезность</t>
  </si>
  <si>
    <t>C3 — Возможность декомпозиции</t>
  </si>
  <si>
    <t>C4 — Возможность развития</t>
  </si>
  <si>
    <t>C5 — Трудоёмкость</t>
  </si>
  <si>
    <t>Приоритеты альтернатив</t>
  </si>
  <si>
    <t>Коллективные приоритеты альтернатив по C1–C5</t>
  </si>
  <si>
    <t>Альтернатива</t>
  </si>
  <si>
    <t>Итог МАИ</t>
  </si>
  <si>
    <t>Глобальный приоритет: сумма произведений веса критерия на локальный приоритет</t>
  </si>
  <si>
    <t>Глобальный приоритет</t>
  </si>
  <si>
    <t>Место</t>
  </si>
  <si>
    <t>Итог по исходному отчёту: A1 — первое место, P ≈ 0,294.</t>
  </si>
  <si>
    <t>Эксперты проекта</t>
  </si>
  <si>
    <t>Состав команды и порядок экспертного оценивания</t>
  </si>
  <si>
    <t>Номер</t>
  </si>
  <si>
    <t>Участник</t>
  </si>
  <si>
    <t>Роль</t>
  </si>
  <si>
    <t>Проект</t>
  </si>
  <si>
    <t>Роде</t>
  </si>
  <si>
    <t>Эксперт</t>
  </si>
  <si>
    <t>ИС автосервиса</t>
  </si>
  <si>
    <t>Солопанов</t>
  </si>
  <si>
    <t>Пухов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</si>
</sst>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>
    <font>
      <sz val="11"/>
      <name val="Carlito"/>
    </font>
    <font>
      <b/>
      <sz val="16"/>
      <color rgb="FFFFFFFF"/>
      <name val="Carlito"/>
    </font>
    <font>
      <i/>
      <sz val="11"/>
      <color rgb="FF117C83"/>
      <name val="Carlito"/>
    </font>
    <font>
      <b/>
      <sz val="11"/>
      <color rgb="FFFFFFFF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4263D"/>
      </patternFill>
    </fill>
    <fill>
      <patternFill patternType="solid">
        <fgColor rgb="FFE8F5F4"/>
      </patternFill>
    </fill>
    <fill>
      <patternFill patternType="solid">
        <fgColor rgb="FF117C8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6">
    <xf numFmtId="0" fontId="0" fillId="0" borderId="0" xfId="0"/>
    <xf numFmtId="0" fontId="3" fillId="4" borderId="0" xfId="1" applyFont="1" applyFill="1" applyAlignment="1">
      <alignment wrapText="1"/>
    </xf>
    <xf numFmtId="164" fontId="0" fillId="0" borderId="0" xfId="1" applyNumberFormat="1" applyFont="1"/>
    <xf numFmtId="0" fontId="1" fillId="2" borderId="0" xfId="1" applyFont="1" applyFill="1" applyAlignment="1">
      <alignment vertical="center"/>
    </xf>
    <xf numFmtId="0" fontId="2" fillId="3" borderId="0" xfId="1" applyFont="1" applyFill="1"/>
    <xf numFmtId="0" fontId="3" fillId="2" borderId="0" xfId="1" applyFont="1" applyFill="1"/>
  </cellXfs>
  <cellStyles count="2">
    <cellStyle name="Обычный" xfId="0" builtinId="0"/>
    <cellStyle name="Normal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tabSelected="1" workbookViewId="0">
      <pane ySplit="6" topLeftCell="A7" activePane="bottomLeft" state="frozen"/>
      <selection pane="bottomLeft" activeCell="B20" sqref="B20"/>
    </sheetView>
  </sheetViews>
  <sheetFormatPr baseColWidth="10" defaultColWidth="8.83203125" defaultRowHeight="15"/>
  <cols>
    <col min="1" max="1" width="34" customWidth="1"/>
    <col min="2" max="8" width="19" customWidth="1"/>
  </cols>
  <sheetData>
    <row r="1" spans="1:8" ht="25" customHeight="1">
      <c r="A1" s="3" t="s">
        <v>0</v>
      </c>
      <c r="B1" s="3"/>
      <c r="C1" s="3"/>
      <c r="D1" s="3"/>
      <c r="E1" s="3"/>
      <c r="F1" s="3"/>
      <c r="G1" s="3"/>
      <c r="H1" s="3"/>
    </row>
    <row r="2" spans="1:8" ht="25" customHeight="1">
      <c r="A2" s="3"/>
      <c r="B2" s="3"/>
      <c r="C2" s="3"/>
      <c r="D2" s="3"/>
      <c r="E2" s="3"/>
      <c r="F2" s="3"/>
      <c r="G2" s="3"/>
      <c r="H2" s="3"/>
    </row>
    <row r="3" spans="1:8" ht="26" customHeight="1">
      <c r="A3" s="4" t="s">
        <v>1</v>
      </c>
      <c r="B3" s="4"/>
      <c r="C3" s="4"/>
      <c r="D3" s="4"/>
      <c r="E3" s="4"/>
      <c r="F3" s="4"/>
      <c r="G3" s="4"/>
      <c r="H3" s="4"/>
    </row>
    <row r="5" spans="1:8" ht="26" customHeight="1">
      <c r="A5" s="5" t="s">
        <v>2</v>
      </c>
      <c r="B5" s="5"/>
      <c r="C5" s="5"/>
      <c r="D5" s="5"/>
      <c r="E5" s="5"/>
      <c r="F5" s="5"/>
      <c r="G5" s="5"/>
      <c r="H5" s="5"/>
    </row>
    <row r="6" spans="1:8">
      <c r="A6" t="s">
        <v>3</v>
      </c>
    </row>
    <row r="8" spans="1:8">
      <c r="A8" t="s">
        <v>4</v>
      </c>
    </row>
    <row r="9" spans="1:8">
      <c r="A9" t="s">
        <v>5</v>
      </c>
    </row>
    <row r="10" spans="1:8">
      <c r="A10" t="s">
        <v>6</v>
      </c>
    </row>
    <row r="11" spans="1:8">
      <c r="A11" t="s">
        <v>7</v>
      </c>
    </row>
    <row r="14" spans="1:8" ht="26" customHeight="1">
      <c r="A14" s="5" t="s">
        <v>8</v>
      </c>
      <c r="B14" s="5"/>
      <c r="C14" s="5"/>
      <c r="D14" s="5"/>
      <c r="E14" s="5"/>
      <c r="F14" s="5"/>
      <c r="G14" s="5"/>
      <c r="H14" s="5"/>
    </row>
    <row r="15" spans="1:8">
      <c r="A15" t="s">
        <v>9</v>
      </c>
    </row>
    <row r="16" spans="1:8">
      <c r="A16" t="s">
        <v>10</v>
      </c>
    </row>
  </sheetData>
  <mergeCells count="4">
    <mergeCell ref="A1:H2"/>
    <mergeCell ref="A3:H3"/>
    <mergeCell ref="A5:H5"/>
    <mergeCell ref="A14:H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workbookViewId="0">
      <pane ySplit="6" topLeftCell="A7" activePane="bottomLeft" state="frozen"/>
      <selection pane="bottomLeft" sqref="A1:H2"/>
    </sheetView>
  </sheetViews>
  <sheetFormatPr baseColWidth="10" defaultColWidth="8.83203125" defaultRowHeight="15"/>
  <cols>
    <col min="1" max="1" width="40" customWidth="1"/>
    <col min="2" max="7" width="19" customWidth="1"/>
    <col min="8" max="8" width="38" customWidth="1"/>
  </cols>
  <sheetData>
    <row r="1" spans="1:9" ht="25" customHeight="1">
      <c r="A1" s="3" t="s">
        <v>11</v>
      </c>
      <c r="B1" s="3"/>
      <c r="C1" s="3"/>
      <c r="D1" s="3"/>
      <c r="E1" s="3"/>
      <c r="F1" s="3"/>
      <c r="G1" s="3"/>
      <c r="H1" s="3"/>
    </row>
    <row r="2" spans="1:9" ht="25" customHeight="1">
      <c r="A2" s="3"/>
      <c r="B2" s="3"/>
      <c r="C2" s="3"/>
      <c r="D2" s="3"/>
      <c r="E2" s="3"/>
      <c r="F2" s="3"/>
      <c r="G2" s="3"/>
      <c r="H2" s="3"/>
    </row>
    <row r="3" spans="1:9" ht="26" customHeight="1">
      <c r="A3" s="4" t="s">
        <v>12</v>
      </c>
      <c r="B3" s="4"/>
      <c r="C3" s="4"/>
      <c r="D3" s="4"/>
      <c r="E3" s="4"/>
      <c r="F3" s="4"/>
      <c r="G3" s="4"/>
      <c r="H3" s="4"/>
    </row>
    <row r="5" spans="1:9" ht="29" customHeight="1">
      <c r="A5" s="1" t="s">
        <v>13</v>
      </c>
      <c r="B5" s="1" t="s">
        <v>14</v>
      </c>
      <c r="C5" s="1" t="s">
        <v>15</v>
      </c>
      <c r="D5" s="1" t="s">
        <v>16</v>
      </c>
      <c r="E5" s="1" t="s">
        <v>17</v>
      </c>
      <c r="F5" s="1" t="s">
        <v>18</v>
      </c>
      <c r="H5" s="1" t="s">
        <v>13</v>
      </c>
      <c r="I5" s="1" t="s">
        <v>19</v>
      </c>
    </row>
    <row r="6" spans="1:9">
      <c r="A6" t="s">
        <v>20</v>
      </c>
      <c r="B6">
        <v>1</v>
      </c>
      <c r="C6">
        <v>0.79400000000000004</v>
      </c>
      <c r="D6">
        <v>1.8169999999999999</v>
      </c>
      <c r="E6">
        <v>1.145</v>
      </c>
      <c r="F6">
        <v>1.587</v>
      </c>
      <c r="H6" t="s">
        <v>20</v>
      </c>
      <c r="I6">
        <v>0.23200000000000001</v>
      </c>
    </row>
    <row r="7" spans="1:9">
      <c r="A7" t="s">
        <v>21</v>
      </c>
      <c r="B7">
        <v>1.26</v>
      </c>
      <c r="C7">
        <v>1</v>
      </c>
      <c r="D7">
        <v>2.2890000000000001</v>
      </c>
      <c r="E7">
        <v>1.587</v>
      </c>
      <c r="F7">
        <v>1.8169999999999999</v>
      </c>
      <c r="H7" t="s">
        <v>21</v>
      </c>
      <c r="I7">
        <v>0.29299999999999998</v>
      </c>
    </row>
    <row r="8" spans="1:9">
      <c r="A8" t="s">
        <v>22</v>
      </c>
      <c r="B8">
        <v>0.55000000000000004</v>
      </c>
      <c r="C8">
        <v>0.437</v>
      </c>
      <c r="D8">
        <v>1</v>
      </c>
      <c r="E8">
        <v>0.69299999999999995</v>
      </c>
      <c r="F8">
        <v>0.79400000000000004</v>
      </c>
      <c r="H8" t="s">
        <v>22</v>
      </c>
      <c r="I8">
        <v>0.128</v>
      </c>
    </row>
    <row r="9" spans="1:9">
      <c r="A9" t="s">
        <v>23</v>
      </c>
      <c r="B9">
        <v>0.874</v>
      </c>
      <c r="C9">
        <v>0.63</v>
      </c>
      <c r="D9">
        <v>1.4419999999999999</v>
      </c>
      <c r="E9">
        <v>1</v>
      </c>
      <c r="F9">
        <v>1.26</v>
      </c>
      <c r="H9" t="s">
        <v>23</v>
      </c>
      <c r="I9">
        <v>0.192</v>
      </c>
    </row>
    <row r="10" spans="1:9">
      <c r="A10" t="s">
        <v>24</v>
      </c>
      <c r="B10">
        <v>0.63</v>
      </c>
      <c r="C10">
        <v>0.55000000000000004</v>
      </c>
      <c r="D10">
        <v>1.26</v>
      </c>
      <c r="E10">
        <v>0.79400000000000004</v>
      </c>
      <c r="F10">
        <v>1</v>
      </c>
      <c r="H10" t="s">
        <v>24</v>
      </c>
      <c r="I10">
        <v>0.155</v>
      </c>
    </row>
    <row r="11" spans="1:9">
      <c r="I11">
        <f>SUM(I6:I10)</f>
        <v>1</v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6" topLeftCell="A7" activePane="bottomLeft" state="frozen"/>
      <selection pane="bottomLeft" sqref="A1:H2"/>
    </sheetView>
  </sheetViews>
  <sheetFormatPr baseColWidth="10" defaultColWidth="8.83203125" defaultRowHeight="15"/>
  <cols>
    <col min="1" max="1" width="39" customWidth="1"/>
    <col min="2" max="8" width="19" customWidth="1"/>
  </cols>
  <sheetData>
    <row r="1" spans="1:8" ht="25" customHeight="1">
      <c r="A1" s="3" t="s">
        <v>25</v>
      </c>
      <c r="B1" s="3"/>
      <c r="C1" s="3"/>
      <c r="D1" s="3"/>
      <c r="E1" s="3"/>
      <c r="F1" s="3"/>
      <c r="G1" s="3"/>
      <c r="H1" s="3"/>
    </row>
    <row r="2" spans="1:8" ht="25" customHeight="1">
      <c r="A2" s="3"/>
      <c r="B2" s="3"/>
      <c r="C2" s="3"/>
      <c r="D2" s="3"/>
      <c r="E2" s="3"/>
      <c r="F2" s="3"/>
      <c r="G2" s="3"/>
      <c r="H2" s="3"/>
    </row>
    <row r="3" spans="1:8" ht="26" customHeight="1">
      <c r="A3" s="4" t="s">
        <v>26</v>
      </c>
      <c r="B3" s="4"/>
      <c r="C3" s="4"/>
      <c r="D3" s="4"/>
      <c r="E3" s="4"/>
      <c r="F3" s="4"/>
      <c r="G3" s="4"/>
      <c r="H3" s="4"/>
    </row>
    <row r="5" spans="1:8" ht="29" customHeight="1">
      <c r="A5" s="1" t="s">
        <v>27</v>
      </c>
      <c r="B5" s="1" t="s">
        <v>14</v>
      </c>
      <c r="C5" s="1" t="s">
        <v>15</v>
      </c>
      <c r="D5" s="1" t="s">
        <v>16</v>
      </c>
      <c r="E5" s="1" t="s">
        <v>17</v>
      </c>
      <c r="F5" s="1" t="s">
        <v>18</v>
      </c>
    </row>
    <row r="6" spans="1:8">
      <c r="A6" t="s">
        <v>4</v>
      </c>
      <c r="B6">
        <v>0.216</v>
      </c>
      <c r="C6">
        <v>0.40600000000000003</v>
      </c>
      <c r="D6">
        <v>0.31</v>
      </c>
      <c r="E6">
        <v>0.35399999999999998</v>
      </c>
      <c r="F6">
        <v>0.11</v>
      </c>
    </row>
    <row r="7" spans="1:8">
      <c r="A7" t="s">
        <v>5</v>
      </c>
      <c r="B7">
        <v>0.40200000000000002</v>
      </c>
      <c r="C7">
        <v>0.124</v>
      </c>
      <c r="D7">
        <v>0.13500000000000001</v>
      </c>
      <c r="E7">
        <v>0.111</v>
      </c>
      <c r="F7">
        <v>0.51200000000000001</v>
      </c>
    </row>
    <row r="8" spans="1:8">
      <c r="A8" t="s">
        <v>6</v>
      </c>
      <c r="B8">
        <v>0.17100000000000001</v>
      </c>
      <c r="C8">
        <v>0.21099999999999999</v>
      </c>
      <c r="D8">
        <v>0.30299999999999999</v>
      </c>
      <c r="E8">
        <v>0.29199999999999998</v>
      </c>
      <c r="F8">
        <v>0.16900000000000001</v>
      </c>
    </row>
    <row r="9" spans="1:8">
      <c r="A9" t="s">
        <v>7</v>
      </c>
      <c r="B9">
        <v>0.21099999999999999</v>
      </c>
      <c r="C9">
        <v>0.26</v>
      </c>
      <c r="D9">
        <v>0.252</v>
      </c>
      <c r="E9">
        <v>0.24299999999999999</v>
      </c>
      <c r="F9">
        <v>0.20899999999999999</v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workbookViewId="0">
      <pane ySplit="6" topLeftCell="A7" activePane="bottomLeft" state="frozen"/>
      <selection pane="bottomLeft" sqref="A1:H2"/>
    </sheetView>
  </sheetViews>
  <sheetFormatPr baseColWidth="10" defaultColWidth="8.83203125" defaultRowHeight="15"/>
  <cols>
    <col min="1" max="1" width="39" customWidth="1"/>
    <col min="2" max="8" width="19" customWidth="1"/>
  </cols>
  <sheetData>
    <row r="1" spans="1:8" ht="25" customHeight="1">
      <c r="A1" s="3" t="s">
        <v>28</v>
      </c>
      <c r="B1" s="3"/>
      <c r="C1" s="3"/>
      <c r="D1" s="3"/>
      <c r="E1" s="3"/>
      <c r="F1" s="3"/>
      <c r="G1" s="3"/>
      <c r="H1" s="3"/>
    </row>
    <row r="2" spans="1:8" ht="25" customHeight="1">
      <c r="A2" s="3"/>
      <c r="B2" s="3"/>
      <c r="C2" s="3"/>
      <c r="D2" s="3"/>
      <c r="E2" s="3"/>
      <c r="F2" s="3"/>
      <c r="G2" s="3"/>
      <c r="H2" s="3"/>
    </row>
    <row r="3" spans="1:8" ht="26" customHeight="1">
      <c r="A3" s="4" t="s">
        <v>29</v>
      </c>
      <c r="B3" s="4"/>
      <c r="C3" s="4"/>
      <c r="D3" s="4"/>
      <c r="E3" s="4"/>
      <c r="F3" s="4"/>
      <c r="G3" s="4"/>
      <c r="H3" s="4"/>
    </row>
    <row r="5" spans="1:8" ht="29" customHeight="1">
      <c r="A5" s="1" t="s">
        <v>27</v>
      </c>
      <c r="B5" s="1" t="s">
        <v>30</v>
      </c>
      <c r="C5" s="1" t="s">
        <v>31</v>
      </c>
    </row>
    <row r="6" spans="1:8">
      <c r="A6" t="s">
        <v>4</v>
      </c>
      <c r="B6" s="2">
        <f>'Локальные приоритеты'!B6*'Критерии МАИ'!I6+'Локальные приоритеты'!C6*'Критерии МАИ'!I7+'Локальные приоритеты'!D6*'Критерии МАИ'!I8+'Локальные приоритеты'!E6*'Критерии МАИ'!I9+'Локальные приоритеты'!F6*'Критерии МАИ'!I10</f>
        <v>0.29376800000000003</v>
      </c>
      <c r="C6">
        <f>RANK(B6,$B$6:$B$9,0)</f>
        <v>1</v>
      </c>
    </row>
    <row r="7" spans="1:8">
      <c r="A7" t="s">
        <v>5</v>
      </c>
      <c r="B7" s="2">
        <f>'Локальные приоритеты'!B7*'Критерии МАИ'!I6+'Локальные приоритеты'!C7*'Критерии МАИ'!I7+'Локальные приоритеты'!D7*'Критерии МАИ'!I8+'Локальные приоритеты'!E7*'Критерии МАИ'!I9+'Локальные приоритеты'!F7*'Критерии МАИ'!I10</f>
        <v>0.24754799999999999</v>
      </c>
      <c r="C7">
        <f>RANK(B7,$B$6:$B$9,0)</f>
        <v>2</v>
      </c>
    </row>
    <row r="8" spans="1:8">
      <c r="A8" t="s">
        <v>6</v>
      </c>
      <c r="B8" s="2">
        <f>'Локальные приоритеты'!B8*'Критерии МАИ'!I6+'Локальные приоритеты'!C8*'Критерии МАИ'!I7+'Локальные приоритеты'!D8*'Критерии МАИ'!I8+'Локальные приоритеты'!E8*'Критерии МАИ'!I9+'Локальные приоритеты'!F8*'Критерии МАИ'!I10</f>
        <v>0.22253799999999999</v>
      </c>
      <c r="C8">
        <f>RANK(B8,$B$6:$B$9,0)</f>
        <v>4</v>
      </c>
    </row>
    <row r="9" spans="1:8">
      <c r="A9" t="s">
        <v>7</v>
      </c>
      <c r="B9" s="2">
        <f>'Локальные приоритеты'!B9*'Критерии МАИ'!I6+'Локальные приоритеты'!C9*'Критерии МАИ'!I7+'Локальные приоритеты'!D9*'Критерии МАИ'!I8+'Локальные приоритеты'!E9*'Критерии МАИ'!I9+'Локальные приоритеты'!F9*'Критерии МАИ'!I10</f>
        <v>0.23643900000000001</v>
      </c>
      <c r="C9">
        <f>RANK(B9,$B$6:$B$9,0)</f>
        <v>3</v>
      </c>
    </row>
    <row r="12" spans="1:8">
      <c r="A12" t="s">
        <v>32</v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"/>
  <sheetViews>
    <sheetView workbookViewId="0">
      <pane ySplit="6" topLeftCell="A7" activePane="bottomLeft" state="frozen"/>
      <selection pane="bottomLeft" sqref="A1:H2"/>
    </sheetView>
  </sheetViews>
  <sheetFormatPr baseColWidth="10" defaultColWidth="8.83203125" defaultRowHeight="15"/>
  <cols>
    <col min="1" max="1" width="27" customWidth="1"/>
    <col min="2" max="2" width="25" customWidth="1"/>
    <col min="3" max="3" width="19" customWidth="1"/>
    <col min="4" max="4" width="55" customWidth="1"/>
    <col min="5" max="8" width="19" customWidth="1"/>
  </cols>
  <sheetData>
    <row r="1" spans="1:8" ht="25" customHeight="1">
      <c r="A1" s="3" t="s">
        <v>33</v>
      </c>
      <c r="B1" s="3"/>
      <c r="C1" s="3"/>
      <c r="D1" s="3"/>
      <c r="E1" s="3"/>
      <c r="F1" s="3"/>
      <c r="G1" s="3"/>
      <c r="H1" s="3"/>
    </row>
    <row r="2" spans="1:8" ht="25" customHeight="1">
      <c r="A2" s="3"/>
      <c r="B2" s="3"/>
      <c r="C2" s="3"/>
      <c r="D2" s="3"/>
      <c r="E2" s="3"/>
      <c r="F2" s="3"/>
      <c r="G2" s="3"/>
      <c r="H2" s="3"/>
    </row>
    <row r="3" spans="1:8" ht="26" customHeight="1">
      <c r="A3" s="4" t="s">
        <v>34</v>
      </c>
      <c r="B3" s="4"/>
      <c r="C3" s="4"/>
      <c r="D3" s="4"/>
      <c r="E3" s="4"/>
      <c r="F3" s="4"/>
      <c r="G3" s="4"/>
      <c r="H3" s="4"/>
    </row>
    <row r="5" spans="1:8" ht="29" customHeight="1">
      <c r="A5" s="1" t="s">
        <v>35</v>
      </c>
      <c r="B5" s="1" t="s">
        <v>36</v>
      </c>
      <c r="C5" s="1" t="s">
        <v>37</v>
      </c>
      <c r="D5" s="1" t="s">
        <v>38</v>
      </c>
    </row>
    <row r="6" spans="1:8">
      <c r="A6">
        <v>1</v>
      </c>
      <c r="B6" t="s">
        <v>39</v>
      </c>
      <c r="C6" t="s">
        <v>40</v>
      </c>
      <c r="D6" t="s">
        <v>41</v>
      </c>
    </row>
    <row r="7" spans="1:8">
      <c r="A7">
        <v>2</v>
      </c>
      <c r="B7" t="s">
        <v>42</v>
      </c>
      <c r="C7" t="s">
        <v>40</v>
      </c>
      <c r="D7" t="s">
        <v>41</v>
      </c>
    </row>
    <row r="8" spans="1:8">
      <c r="A8">
        <v>3</v>
      </c>
      <c r="B8" t="s">
        <v>43</v>
      </c>
      <c r="C8" t="s">
        <v>40</v>
      </c>
      <c r="D8" t="s">
        <v>41</v>
      </c>
    </row>
  </sheetData>
  <mergeCells count="2">
    <mergeCell ref="A1:H2"/>
    <mergeCell ref="A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Обзор</vt:lpstr>
      <vt:lpstr>Критерии МАИ</vt:lpstr>
      <vt:lpstr>Локальные приоритеты</vt:lpstr>
      <vt:lpstr>Результат МАИ</vt:lpstr>
      <vt:lpstr>Эксперты — статус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 Rode</cp:lastModifiedBy>
  <dcterms:modified xsi:type="dcterms:W3CDTF">2026-10-13T14:22:43Z</dcterms:modified>
</cp:coreProperties>
</file>