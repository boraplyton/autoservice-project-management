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84f88c03bd43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бзор" sheetId="1" r:id="R3c73161f91804f12"/>
    <x:sheet xmlns:r="http://schemas.openxmlformats.org/officeDocument/2006/relationships" name="Оценки экспертов" sheetId="2" r:id="R1fb8759799cc4ab8"/>
    <x:sheet xmlns:r="http://schemas.openxmlformats.org/officeDocument/2006/relationships" name="Веса критериев" sheetId="3" r:id="R04c49be160f44e29"/>
    <x:sheet xmlns:r="http://schemas.openxmlformats.org/officeDocument/2006/relationships" name="Нормализация" sheetId="4" r:id="Ra13f093af6f347be"/>
    <x:sheet xmlns:r="http://schemas.openxmlformats.org/officeDocument/2006/relationships" name="Итоги TOPSIS" sheetId="5" r:id="R48ecd578188d43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17C83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4263D"/>
      </x:patternFill>
    </x:fill>
    <x:fill>
      <x:patternFill patternType="solid">
        <x:fgColor rgb="FFE8F5F4"/>
      </x:patternFill>
    </x:fill>
    <x:fill>
      <x:patternFill patternType="solid">
        <x:fgColor rgb="FF117C83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841638b532472f" /><Relationship Type="http://schemas.openxmlformats.org/officeDocument/2006/relationships/theme" Target="/xl/theme/theme1.xml" Id="R1b40060d50194f7f" /><Relationship Type="http://schemas.openxmlformats.org/officeDocument/2006/relationships/sharedStrings" Target="/xl/sharedStrings.xml" Id="R4c1cde9cff3b4054" /><Relationship Type="http://schemas.openxmlformats.org/officeDocument/2006/relationships/worksheet" Target="/xl/worksheets/sheet1.xml" Id="R3c73161f91804f12" /><Relationship Type="http://schemas.openxmlformats.org/officeDocument/2006/relationships/worksheet" Target="/xl/worksheets/sheet2.xml" Id="R1fb8759799cc4ab8" /><Relationship Type="http://schemas.openxmlformats.org/officeDocument/2006/relationships/worksheet" Target="/xl/worksheets/sheet3.xml" Id="R04c49be160f44e29" /><Relationship Type="http://schemas.openxmlformats.org/officeDocument/2006/relationships/worksheet" Target="/xl/worksheets/sheet4.xml" Id="Ra13f093af6f347be" /><Relationship Type="http://schemas.openxmlformats.org/officeDocument/2006/relationships/worksheet" Target="/xl/worksheets/sheet5.xml" Id="R48ecd578188d436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RowHeight="15"/>
  <x:cols>
    <x:col min="1" max="1" width="34" hidden="0" customWidth="1"/>
    <x:col min="2" max="2" width="3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 ht="25" customHeight="1">
      <x:c r="A1" s="4" t="str">
        <x:v>TOPSIS | Выбор концепции</x:v>
      </x:c>
      <x:c r="B1" s="4"/>
      <x:c r="C1" s="4"/>
      <x:c r="D1" s="4"/>
      <x:c r="E1" s="4"/>
      <x:c r="F1" s="4"/>
      <x:c r="G1" s="4"/>
      <x:c r="H1" s="4"/>
    </x:row>
    <x:row r="2" ht="25" customHeight="1">
      <x:c r="A2" s="4"/>
      <x:c r="B2" s="4"/>
      <x:c r="C2" s="4"/>
      <x:c r="D2" s="4"/>
      <x:c r="E2" s="4"/>
      <x:c r="F2" s="4"/>
      <x:c r="G2" s="4"/>
      <x:c r="H2" s="4"/>
    </x:row>
    <x:row r="3" ht="26" customHeight="1">
      <x:c r="A3" s="9" t="str">
        <x:v>Фаза 1 · Роде · Солопанов · Пухов</x:v>
      </x:c>
      <x:c r="B3" s="9"/>
      <x:c r="C3" s="9"/>
      <x:c r="D3" s="9"/>
      <x:c r="E3" s="9"/>
      <x:c r="F3" s="9"/>
      <x:c r="G3" s="9"/>
      <x:c r="H3" s="9"/>
    </x:row>
    <x:row r="5" ht="26" customHeight="1">
      <x:c r="A5" s="12" t="str">
        <x:v>АЛЬТЕРНАТИВЫ</x:v>
      </x:c>
      <x:c r="B5" s="12"/>
      <x:c r="C5" s="12"/>
      <x:c r="D5" s="12"/>
      <x:c r="E5" s="12"/>
      <x:c r="F5" s="12"/>
      <x:c r="G5" s="12"/>
      <x:c r="H5" s="12"/>
    </x:row>
    <x:row r="6" ht="29" customHeight="1">
      <x:c r="A6" s="16" t="str">
        <x:v>Код</x:v>
      </x:c>
      <x:c r="B6" s="16" t="str">
        <x:v>Концепция</x:v>
      </x:c>
    </x:row>
    <x:row r="7">
      <x:c r="A7" t="str">
        <x:v>A1</x:v>
      </x:c>
      <x:c r="B7" t="str">
        <x:v>A1 — ИС автосервиса</x:v>
      </x:c>
    </x:row>
    <x:row r="8">
      <x:c r="A8" t="str">
        <x:v>A2</x:v>
      </x:c>
      <x:c r="B8" t="str">
        <x:v>A2 — Бронирование переговорных</x:v>
      </x:c>
    </x:row>
    <x:row r="9">
      <x:c r="A9" t="str">
        <x:v>A3</x:v>
      </x:c>
      <x:c r="B9" t="str">
        <x:v>A3 — Студенческие проекты</x:v>
      </x:c>
    </x:row>
    <x:row r="10">
      <x:c r="A10" t="str">
        <x:v>A4</x:v>
      </x:c>
      <x:c r="B10" t="str">
        <x:v>A4 — Учёт оборудования</x:v>
      </x:c>
    </x:row>
    <x:row r="12" ht="26" customHeight="1">
      <x:c r="A12" s="12" t="str">
        <x:v>КРИТЕРИИ</x:v>
      </x:c>
      <x:c r="B12" s="12"/>
      <x:c r="C12" s="12"/>
      <x:c r="D12" s="12"/>
      <x:c r="E12" s="12"/>
      <x:c r="F12" s="12"/>
      <x:c r="G12" s="12"/>
      <x:c r="H12" s="12"/>
    </x:row>
    <x:row r="13" ht="29" customHeight="1">
      <x:c r="A13" s="16" t="str">
        <x:v>Код</x:v>
      </x:c>
      <x:c r="B13" s="16" t="str">
        <x:v>Критерий</x:v>
      </x:c>
      <x:c r="C13" s="16" t="str">
        <x:v>Тип</x:v>
      </x:c>
    </x:row>
    <x:row r="14">
      <x:c r="A14" t="str">
        <x:v>C1</x:v>
      </x:c>
      <x:c r="B14" t="str">
        <x:v>Простота реализации</x:v>
      </x:c>
      <x:c r="C14" t="str">
        <x:v>Максимизация</x:v>
      </x:c>
    </x:row>
    <x:row r="15">
      <x:c r="A15" t="str">
        <x:v>C2</x:v>
      </x:c>
      <x:c r="B15" t="str">
        <x:v>Практическая полезность</x:v>
      </x:c>
      <x:c r="C15" t="str">
        <x:v>Максимизация</x:v>
      </x:c>
    </x:row>
    <x:row r="16">
      <x:c r="A16" t="str">
        <x:v>C3</x:v>
      </x:c>
      <x:c r="B16" t="str">
        <x:v>Возможность декомпозиции</x:v>
      </x:c>
      <x:c r="C16" t="str">
        <x:v>Максимизация</x:v>
      </x:c>
    </x:row>
    <x:row r="17">
      <x:c r="A17" t="str">
        <x:v>C4</x:v>
      </x:c>
      <x:c r="B17" t="str">
        <x:v>Возможность развития</x:v>
      </x:c>
      <x:c r="C17" t="str">
        <x:v>Максимизация</x:v>
      </x:c>
    </x:row>
    <x:row r="18">
      <x:c r="A18" t="str">
        <x:v>C5</x:v>
      </x:c>
      <x:c r="B18" t="str">
        <x:v>Трудоёмкость</x:v>
      </x:c>
      <x:c r="C18" t="str">
        <x:v>Минимизация</x:v>
      </x:c>
    </x:row>
    <x:row r="20" ht="26" customHeight="1">
      <x:c r="A20" s="12" t="str">
        <x:v>ИСТОЧНИК И ОГРАНИЧЕНИЯ</x:v>
      </x:c>
      <x:c r="B20" s="12"/>
      <x:c r="C20" s="12"/>
      <x:c r="D20" s="12"/>
      <x:c r="E20" s="12"/>
      <x:c r="F20" s="12"/>
      <x:c r="G20" s="12"/>
      <x:c r="H20" s="12"/>
    </x:row>
    <x:row r="21">
      <x:c r="A21" t="str">
        <x:v>Экспертные баллы и итоговый выбор перенесены из готового отчёта Фазы 1.</x:v>
      </x:c>
    </x:row>
    <x:row r="22">
      <x:c r="A22" t="str">
        <x:v>Эксперты 1–3 — исходные позиции; соответствие фамилиям не подтверждено.</x:v>
      </x:c>
    </x:row>
    <x:row r="23">
      <x:c r="A23" t="str">
        <x:v>Не следует выдавать реконструированные таблицы за независимо полученные оценки.</x:v>
      </x:c>
    </x:row>
  </x:sheetData>
  <x:mergeCells>
    <x:mergeCell ref="A1:H2"/>
    <x:mergeCell ref="A3:H3"/>
    <x:mergeCell ref="A5:H5"/>
    <x:mergeCell ref="A12:H12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RowHeight="15"/>
  <x:cols>
    <x:col min="1" max="1" width="34" hidden="0" customWidth="1"/>
    <x:col min="2" max="2" width="36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 ht="25" customHeight="1">
      <x:c r="A1" s="4" t="str">
        <x:v>Экспертные оценки · TOPSIS</x:v>
      </x:c>
      <x:c r="B1" s="4"/>
      <x:c r="C1" s="4"/>
      <x:c r="D1" s="4"/>
      <x:c r="E1" s="4"/>
      <x:c r="F1" s="4"/>
      <x:c r="G1" s="4"/>
      <x:c r="H1" s="4"/>
    </x:row>
    <x:row r="2" ht="25" customHeight="1">
      <x:c r="A2" s="4"/>
      <x:c r="B2" s="4"/>
      <x:c r="C2" s="4"/>
      <x:c r="D2" s="4"/>
      <x:c r="E2" s="4"/>
      <x:c r="F2" s="4"/>
      <x:c r="G2" s="4"/>
      <x:c r="H2" s="4"/>
    </x:row>
    <x:row r="3" ht="26" customHeight="1">
      <x:c r="A3" s="9" t="str">
        <x:v>Экспертные оценки команды по шкале 1–10</x:v>
      </x:c>
      <x:c r="B3" s="9"/>
      <x:c r="C3" s="9"/>
      <x:c r="D3" s="9"/>
      <x:c r="E3" s="9"/>
      <x:c r="F3" s="9"/>
      <x:c r="G3" s="9"/>
      <x:c r="H3" s="9"/>
    </x:row>
    <x:row r="5" ht="29" customHeight="1">
      <x:c r="A5" s="16" t="str">
        <x:v>Концепция</x:v>
      </x:c>
      <x:c r="B5" s="16" t="str">
        <x:v>Критерий</x:v>
      </x:c>
      <x:c r="C5" s="16" t="str">
        <x:v>Роде</x:v>
      </x:c>
      <x:c r="D5" s="16" t="str">
        <x:v>Солопанов</x:v>
      </x:c>
      <x:c r="E5" s="16" t="str">
        <x:v>Пухов</x:v>
      </x:c>
      <x:c r="F5" s="16" t="str">
        <x:v>l (мин)</x:v>
      </x:c>
      <x:c r="G5" s="16" t="str">
        <x:v>m (медиана)</x:v>
      </x:c>
      <x:c r="H5" s="16" t="str">
        <x:v>u (макс)</x:v>
      </x:c>
    </x:row>
    <x:row r="6" ht="21" customHeight="1">
      <x:c r="A6" t="str">
        <x:v>A1 — ИС автосервиса</x:v>
      </x:c>
      <x:c r="B6" t="str">
        <x:v>C1 — Простота реализации</x:v>
      </x:c>
      <x:c r="C6" t="n">
        <x:v>8</x:v>
      </x:c>
      <x:c r="D6" t="n">
        <x:v>7</x:v>
      </x:c>
      <x:c r="E6" t="n">
        <x:v>8</x:v>
      </x:c>
      <x:c r="F6" t="n">
        <x:f>MIN(C6:E6)</x:f>
        <x:v>7</x:v>
      </x:c>
      <x:c r="G6" t="n">
        <x:f>MEDIAN(C6:E6)</x:f>
        <x:v>8</x:v>
      </x:c>
      <x:c r="H6" t="n">
        <x:f>MAX(C6:E6)</x:f>
        <x:v>8</x:v>
      </x:c>
    </x:row>
    <x:row r="7" ht="21" customHeight="1">
      <x:c r="A7" t="str">
        <x:v>A1 — ИС автосервиса</x:v>
      </x:c>
      <x:c r="B7" t="str">
        <x:v>C2 — Практическая полезность</x:v>
      </x:c>
      <x:c r="C7" t="n">
        <x:v>9</x:v>
      </x:c>
      <x:c r="D7" t="n">
        <x:v>9</x:v>
      </x:c>
      <x:c r="E7" t="n">
        <x:v>10</x:v>
      </x:c>
      <x:c r="F7" t="n">
        <x:f>MIN(C7:E7)</x:f>
        <x:v>9</x:v>
      </x:c>
      <x:c r="G7" t="n">
        <x:f>MEDIAN(C7:E7)</x:f>
        <x:v>9</x:v>
      </x:c>
      <x:c r="H7" t="n">
        <x:f>MAX(C7:E7)</x:f>
        <x:v>10</x:v>
      </x:c>
    </x:row>
    <x:row r="8" ht="21" customHeight="1">
      <x:c r="A8" t="str">
        <x:v>A1 — ИС автосервиса</x:v>
      </x:c>
      <x:c r="B8" t="str">
        <x:v>C3 — Возможность декомпозиции</x:v>
      </x:c>
      <x:c r="C8" t="n">
        <x:v>9</x:v>
      </x:c>
      <x:c r="D8" t="n">
        <x:v>8</x:v>
      </x:c>
      <x:c r="E8" t="n">
        <x:v>9</x:v>
      </x:c>
      <x:c r="F8" t="n">
        <x:f>MIN(C8:E8)</x:f>
        <x:v>8</x:v>
      </x:c>
      <x:c r="G8" t="n">
        <x:f>MEDIAN(C8:E8)</x:f>
        <x:v>9</x:v>
      </x:c>
      <x:c r="H8" t="n">
        <x:f>MAX(C8:E8)</x:f>
        <x:v>9</x:v>
      </x:c>
    </x:row>
    <x:row r="9" ht="21" customHeight="1">
      <x:c r="A9" t="str">
        <x:v>A1 — ИС автосервиса</x:v>
      </x:c>
      <x:c r="B9" t="str">
        <x:v>C4 — Возможность развития</x:v>
      </x:c>
      <x:c r="C9" t="n">
        <x:v>10</x:v>
      </x:c>
      <x:c r="D9" t="n">
        <x:v>9</x:v>
      </x:c>
      <x:c r="E9" t="n">
        <x:v>9</x:v>
      </x:c>
      <x:c r="F9" t="n">
        <x:f>MIN(C9:E9)</x:f>
        <x:v>9</x:v>
      </x:c>
      <x:c r="G9" t="n">
        <x:f>MEDIAN(C9:E9)</x:f>
        <x:v>9</x:v>
      </x:c>
      <x:c r="H9" t="n">
        <x:f>MAX(C9:E9)</x:f>
        <x:v>10</x:v>
      </x:c>
    </x:row>
    <x:row r="10" ht="21" customHeight="1">
      <x:c r="A10" t="str">
        <x:v>A1 — ИС автосервиса</x:v>
      </x:c>
      <x:c r="B10" t="str">
        <x:v>C5 — Трудоёмкость</x:v>
      </x:c>
      <x:c r="C10" t="n">
        <x:v>7</x:v>
      </x:c>
      <x:c r="D10" t="n">
        <x:v>7</x:v>
      </x:c>
      <x:c r="E10" t="n">
        <x:v>8</x:v>
      </x:c>
      <x:c r="F10" t="n">
        <x:f>MIN(C10:E10)</x:f>
        <x:v>7</x:v>
      </x:c>
      <x:c r="G10" t="n">
        <x:f>MEDIAN(C10:E10)</x:f>
        <x:v>7</x:v>
      </x:c>
      <x:c r="H10" t="n">
        <x:f>MAX(C10:E10)</x:f>
        <x:v>8</x:v>
      </x:c>
    </x:row>
    <x:row r="11" ht="21" customHeight="1">
      <x:c r="A11" t="str">
        <x:v>A2 — Бронирование переговорных</x:v>
      </x:c>
      <x:c r="B11" t="str">
        <x:v>C1 — Простота реализации</x:v>
      </x:c>
      <x:c r="C11" t="n">
        <x:v>9</x:v>
      </x:c>
      <x:c r="D11" t="n">
        <x:v>9</x:v>
      </x:c>
      <x:c r="E11" t="n">
        <x:v>8</x:v>
      </x:c>
      <x:c r="F11" t="n">
        <x:f>MIN(C11:E11)</x:f>
        <x:v>8</x:v>
      </x:c>
      <x:c r="G11" t="n">
        <x:f>MEDIAN(C11:E11)</x:f>
        <x:v>9</x:v>
      </x:c>
      <x:c r="H11" t="n">
        <x:f>MAX(C11:E11)</x:f>
        <x:v>9</x:v>
      </x:c>
    </x:row>
    <x:row r="12" ht="21" customHeight="1">
      <x:c r="A12" t="str">
        <x:v>A2 — Бронирование переговорных</x:v>
      </x:c>
      <x:c r="B12" t="str">
        <x:v>C2 — Практическая полезность</x:v>
      </x:c>
      <x:c r="C12" t="n">
        <x:v>7</x:v>
      </x:c>
      <x:c r="D12" t="n">
        <x:v>8</x:v>
      </x:c>
      <x:c r="E12" t="n">
        <x:v>7</x:v>
      </x:c>
      <x:c r="F12" t="n">
        <x:f>MIN(C12:E12)</x:f>
        <x:v>7</x:v>
      </x:c>
      <x:c r="G12" t="n">
        <x:f>MEDIAN(C12:E12)</x:f>
        <x:v>7</x:v>
      </x:c>
      <x:c r="H12" t="n">
        <x:f>MAX(C12:E12)</x:f>
        <x:v>8</x:v>
      </x:c>
    </x:row>
    <x:row r="13" ht="21" customHeight="1">
      <x:c r="A13" t="str">
        <x:v>A2 — Бронирование переговорных</x:v>
      </x:c>
      <x:c r="B13" t="str">
        <x:v>C3 — Возможность декомпозиции</x:v>
      </x:c>
      <x:c r="C13" t="n">
        <x:v>7</x:v>
      </x:c>
      <x:c r="D13" t="n">
        <x:v>7</x:v>
      </x:c>
      <x:c r="E13" t="n">
        <x:v>8</x:v>
      </x:c>
      <x:c r="F13" t="n">
        <x:f>MIN(C13:E13)</x:f>
        <x:v>7</x:v>
      </x:c>
      <x:c r="G13" t="n">
        <x:f>MEDIAN(C13:E13)</x:f>
        <x:v>7</x:v>
      </x:c>
      <x:c r="H13" t="n">
        <x:f>MAX(C13:E13)</x:f>
        <x:v>8</x:v>
      </x:c>
    </x:row>
    <x:row r="14" ht="21" customHeight="1">
      <x:c r="A14" t="str">
        <x:v>A2 — Бронирование переговорных</x:v>
      </x:c>
      <x:c r="B14" t="str">
        <x:v>C4 — Возможность развития</x:v>
      </x:c>
      <x:c r="C14" t="n">
        <x:v>7</x:v>
      </x:c>
      <x:c r="D14" t="n">
        <x:v>8</x:v>
      </x:c>
      <x:c r="E14" t="n">
        <x:v>7</x:v>
      </x:c>
      <x:c r="F14" t="n">
        <x:f>MIN(C14:E14)</x:f>
        <x:v>7</x:v>
      </x:c>
      <x:c r="G14" t="n">
        <x:f>MEDIAN(C14:E14)</x:f>
        <x:v>7</x:v>
      </x:c>
      <x:c r="H14" t="n">
        <x:f>MAX(C14:E14)</x:f>
        <x:v>8</x:v>
      </x:c>
    </x:row>
    <x:row r="15" ht="21" customHeight="1">
      <x:c r="A15" t="str">
        <x:v>A2 — Бронирование переговорных</x:v>
      </x:c>
      <x:c r="B15" t="str">
        <x:v>C5 — Трудоёмкость</x:v>
      </x:c>
      <x:c r="C15" t="n">
        <x:v>4</x:v>
      </x:c>
      <x:c r="D15" t="n">
        <x:v>5</x:v>
      </x:c>
      <x:c r="E15" t="n">
        <x:v>5</x:v>
      </x:c>
      <x:c r="F15" t="n">
        <x:f>MIN(C15:E15)</x:f>
        <x:v>4</x:v>
      </x:c>
      <x:c r="G15" t="n">
        <x:f>MEDIAN(C15:E15)</x:f>
        <x:v>5</x:v>
      </x:c>
      <x:c r="H15" t="n">
        <x:f>MAX(C15:E15)</x:f>
        <x:v>5</x:v>
      </x:c>
    </x:row>
    <x:row r="16" ht="21" customHeight="1">
      <x:c r="A16" t="str">
        <x:v>A3 — Студенческие проекты</x:v>
      </x:c>
      <x:c r="B16" t="str">
        <x:v>C1 — Простота реализации</x:v>
      </x:c>
      <x:c r="C16" t="n">
        <x:v>7</x:v>
      </x:c>
      <x:c r="D16" t="n">
        <x:v>8</x:v>
      </x:c>
      <x:c r="E16" t="n">
        <x:v>7</x:v>
      </x:c>
      <x:c r="F16" t="n">
        <x:f>MIN(C16:E16)</x:f>
        <x:v>7</x:v>
      </x:c>
      <x:c r="G16" t="n">
        <x:f>MEDIAN(C16:E16)</x:f>
        <x:v>7</x:v>
      </x:c>
      <x:c r="H16" t="n">
        <x:f>MAX(C16:E16)</x:f>
        <x:v>8</x:v>
      </x:c>
    </x:row>
    <x:row r="17" ht="21" customHeight="1">
      <x:c r="A17" t="str">
        <x:v>A3 — Студенческие проекты</x:v>
      </x:c>
      <x:c r="B17" t="str">
        <x:v>C2 — Практическая полезность</x:v>
      </x:c>
      <x:c r="C17" t="n">
        <x:v>8</x:v>
      </x:c>
      <x:c r="D17" t="n">
        <x:v>8</x:v>
      </x:c>
      <x:c r="E17" t="n">
        <x:v>9</x:v>
      </x:c>
      <x:c r="F17" t="n">
        <x:f>MIN(C17:E17)</x:f>
        <x:v>8</x:v>
      </x:c>
      <x:c r="G17" t="n">
        <x:f>MEDIAN(C17:E17)</x:f>
        <x:v>8</x:v>
      </x:c>
      <x:c r="H17" t="n">
        <x:f>MAX(C17:E17)</x:f>
        <x:v>9</x:v>
      </x:c>
    </x:row>
    <x:row r="18" ht="21" customHeight="1">
      <x:c r="A18" t="str">
        <x:v>A3 — Студенческие проекты</x:v>
      </x:c>
      <x:c r="B18" t="str">
        <x:v>C3 — Возможность декомпозиции</x:v>
      </x:c>
      <x:c r="C18" t="n">
        <x:v>9</x:v>
      </x:c>
      <x:c r="D18" t="n">
        <x:v>9</x:v>
      </x:c>
      <x:c r="E18" t="n">
        <x:v>8</x:v>
      </x:c>
      <x:c r="F18" t="n">
        <x:f>MIN(C18:E18)</x:f>
        <x:v>8</x:v>
      </x:c>
      <x:c r="G18" t="n">
        <x:f>MEDIAN(C18:E18)</x:f>
        <x:v>9</x:v>
      </x:c>
      <x:c r="H18" t="n">
        <x:f>MAX(C18:E18)</x:f>
        <x:v>9</x:v>
      </x:c>
    </x:row>
    <x:row r="19" ht="21" customHeight="1">
      <x:c r="A19" t="str">
        <x:v>A3 — Студенческие проекты</x:v>
      </x:c>
      <x:c r="B19" t="str">
        <x:v>C4 — Возможность развития</x:v>
      </x:c>
      <x:c r="C19" t="n">
        <x:v>9</x:v>
      </x:c>
      <x:c r="D19" t="n">
        <x:v>9</x:v>
      </x:c>
      <x:c r="E19" t="n">
        <x:v>9</x:v>
      </x:c>
      <x:c r="F19" t="n">
        <x:f>MIN(C19:E19)</x:f>
        <x:v>9</x:v>
      </x:c>
      <x:c r="G19" t="n">
        <x:f>MEDIAN(C19:E19)</x:f>
        <x:v>9</x:v>
      </x:c>
      <x:c r="H19" t="n">
        <x:f>MAX(C19:E19)</x:f>
        <x:v>9</x:v>
      </x:c>
    </x:row>
    <x:row r="20" ht="21" customHeight="1">
      <x:c r="A20" t="str">
        <x:v>A3 — Студенческие проекты</x:v>
      </x:c>
      <x:c r="B20" t="str">
        <x:v>C5 — Трудоёмкость</x:v>
      </x:c>
      <x:c r="C20" t="n">
        <x:v>7</x:v>
      </x:c>
      <x:c r="D20" t="n">
        <x:v>6</x:v>
      </x:c>
      <x:c r="E20" t="n">
        <x:v>7</x:v>
      </x:c>
      <x:c r="F20" t="n">
        <x:f>MIN(C20:E20)</x:f>
        <x:v>6</x:v>
      </x:c>
      <x:c r="G20" t="n">
        <x:f>MEDIAN(C20:E20)</x:f>
        <x:v>7</x:v>
      </x:c>
      <x:c r="H20" t="n">
        <x:f>MAX(C20:E20)</x:f>
        <x:v>7</x:v>
      </x:c>
    </x:row>
    <x:row r="21" ht="21" customHeight="1">
      <x:c r="A21" t="str">
        <x:v>A4 — Учёт оборудования</x:v>
      </x:c>
      <x:c r="B21" t="str">
        <x:v>C1 — Простота реализации</x:v>
      </x:c>
      <x:c r="C21" t="n">
        <x:v>8</x:v>
      </x:c>
      <x:c r="D21" t="n">
        <x:v>8</x:v>
      </x:c>
      <x:c r="E21" t="n">
        <x:v>7</x:v>
      </x:c>
      <x:c r="F21" t="n">
        <x:f>MIN(C21:E21)</x:f>
        <x:v>7</x:v>
      </x:c>
      <x:c r="G21" t="n">
        <x:f>MEDIAN(C21:E21)</x:f>
        <x:v>8</x:v>
      </x:c>
      <x:c r="H21" t="n">
        <x:f>MAX(C21:E21)</x:f>
        <x:v>8</x:v>
      </x:c>
    </x:row>
    <x:row r="22" ht="21" customHeight="1">
      <x:c r="A22" t="str">
        <x:v>A4 — Учёт оборудования</x:v>
      </x:c>
      <x:c r="B22" t="str">
        <x:v>C2 — Практическая полезность</x:v>
      </x:c>
      <x:c r="C22" t="n">
        <x:v>9</x:v>
      </x:c>
      <x:c r="D22" t="n">
        <x:v>8</x:v>
      </x:c>
      <x:c r="E22" t="n">
        <x:v>9</x:v>
      </x:c>
      <x:c r="F22" t="n">
        <x:f>MIN(C22:E22)</x:f>
        <x:v>8</x:v>
      </x:c>
      <x:c r="G22" t="n">
        <x:f>MEDIAN(C22:E22)</x:f>
        <x:v>9</x:v>
      </x:c>
      <x:c r="H22" t="n">
        <x:f>MAX(C22:E22)</x:f>
        <x:v>9</x:v>
      </x:c>
    </x:row>
    <x:row r="23" ht="21" customHeight="1">
      <x:c r="A23" t="str">
        <x:v>A4 — Учёт оборудования</x:v>
      </x:c>
      <x:c r="B23" t="str">
        <x:v>C3 — Возможность декомпозиции</x:v>
      </x:c>
      <x:c r="C23" t="n">
        <x:v>8</x:v>
      </x:c>
      <x:c r="D23" t="n">
        <x:v>8</x:v>
      </x:c>
      <x:c r="E23" t="n">
        <x:v>9</x:v>
      </x:c>
      <x:c r="F23" t="n">
        <x:f>MIN(C23:E23)</x:f>
        <x:v>8</x:v>
      </x:c>
      <x:c r="G23" t="n">
        <x:f>MEDIAN(C23:E23)</x:f>
        <x:v>8</x:v>
      </x:c>
      <x:c r="H23" t="n">
        <x:f>MAX(C23:E23)</x:f>
        <x:v>9</x:v>
      </x:c>
    </x:row>
    <x:row r="24" ht="21" customHeight="1">
      <x:c r="A24" t="str">
        <x:v>A4 — Учёт оборудования</x:v>
      </x:c>
      <x:c r="B24" t="str">
        <x:v>C4 — Возможность развития</x:v>
      </x:c>
      <x:c r="C24" t="n">
        <x:v>8</x:v>
      </x:c>
      <x:c r="D24" t="n">
        <x:v>9</x:v>
      </x:c>
      <x:c r="E24" t="n">
        <x:v>9</x:v>
      </x:c>
      <x:c r="F24" t="n">
        <x:f>MIN(C24:E24)</x:f>
        <x:v>8</x:v>
      </x:c>
      <x:c r="G24" t="n">
        <x:f>MEDIAN(C24:E24)</x:f>
        <x:v>9</x:v>
      </x:c>
      <x:c r="H24" t="n">
        <x:f>MAX(C24:E24)</x:f>
        <x:v>9</x:v>
      </x:c>
    </x:row>
    <x:row r="25" ht="21" customHeight="1">
      <x:c r="A25" t="str">
        <x:v>A4 — Учёт оборудования</x:v>
      </x:c>
      <x:c r="B25" t="str">
        <x:v>C5 — Трудоёмкость</x:v>
      </x:c>
      <x:c r="C25" t="n">
        <x:v>6</x:v>
      </x:c>
      <x:c r="D25" t="n">
        <x:v>6</x:v>
      </x:c>
      <x:c r="E25" t="n">
        <x:v>7</x:v>
      </x:c>
      <x:c r="F25" t="n">
        <x:f>MIN(C25:E25)</x:f>
        <x:v>6</x:v>
      </x:c>
      <x:c r="G25" t="n">
        <x:f>MEDIAN(C25:E25)</x:f>
        <x:v>6</x:v>
      </x:c>
      <x:c r="H25" t="n">
        <x:f>MAX(C25:E25)</x:f>
        <x:v>7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RowHeight="15"/>
  <x:cols>
    <x:col min="1" max="1" width="3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 ht="25" customHeight="1">
      <x:c r="A1" s="4" t="str">
        <x:v>Важность критериев</x:v>
      </x:c>
      <x:c r="B1" s="4"/>
      <x:c r="C1" s="4"/>
      <x:c r="D1" s="4"/>
      <x:c r="E1" s="4"/>
      <x:c r="F1" s="4"/>
      <x:c r="G1" s="4"/>
      <x:c r="H1" s="4"/>
    </x:row>
    <x:row r="2" ht="25" customHeight="1">
      <x:c r="A2" s="4"/>
      <x:c r="B2" s="4"/>
      <x:c r="C2" s="4"/>
      <x:c r="D2" s="4"/>
      <x:c r="E2" s="4"/>
      <x:c r="F2" s="4"/>
      <x:c r="G2" s="4"/>
      <x:c r="H2" s="4"/>
    </x:row>
    <x:row r="3" ht="26" customHeight="1">
      <x:c r="A3" s="9" t="str">
        <x:v>Треугольные оценки и приведение к диапазону 0–1</x:v>
      </x:c>
      <x:c r="B3" s="9"/>
      <x:c r="C3" s="9"/>
      <x:c r="D3" s="9"/>
      <x:c r="E3" s="9"/>
      <x:c r="F3" s="9"/>
      <x:c r="G3" s="9"/>
      <x:c r="H3" s="9"/>
    </x:row>
    <x:row r="5" ht="29" customHeight="1">
      <x:c r="A5" s="16" t="str">
        <x:v>Критерий</x:v>
      </x:c>
      <x:c r="B5" s="16" t="str">
        <x:v>Роде</x:v>
      </x:c>
      <x:c r="C5" s="16" t="str">
        <x:v>Солопанов</x:v>
      </x:c>
      <x:c r="D5" s="16" t="str">
        <x:v>Пухов</x:v>
      </x:c>
      <x:c r="E5" s="16" t="str">
        <x:v>l</x:v>
      </x:c>
      <x:c r="F5" s="16" t="str">
        <x:v>m</x:v>
      </x:c>
      <x:c r="G5" s="16" t="str">
        <x:v>u</x:v>
      </x:c>
      <x:c r="H5" s="16" t="str">
        <x:v>w_l</x:v>
      </x:c>
      <x:c r="I5" t="str">
        <x:v>w_m</x:v>
      </x:c>
      <x:c r="J5" t="str">
        <x:v>w_u</x:v>
      </x:c>
    </x:row>
    <x:row r="6">
      <x:c r="A6" t="str">
        <x:v>C1 — Простота реализации</x:v>
      </x:c>
      <x:c r="B6" t="n">
        <x:v>9</x:v>
      </x:c>
      <x:c r="C6" t="n">
        <x:v>8</x:v>
      </x:c>
      <x:c r="D6" t="n">
        <x:v>8</x:v>
      </x:c>
      <x:c r="E6" t="n">
        <x:f>MIN(B6:D6)</x:f>
        <x:v>8</x:v>
      </x:c>
      <x:c r="F6" t="n">
        <x:f>MEDIAN(B6:D6)</x:f>
        <x:v>8</x:v>
      </x:c>
      <x:c r="G6" t="n">
        <x:f>MAX(B6:D6)</x:f>
        <x:v>9</x:v>
      </x:c>
      <x:c r="H6" t="n">
        <x:f>E6/10</x:f>
        <x:v>0.8</x:v>
      </x:c>
      <x:c r="I6" t="n">
        <x:f>F6/10</x:f>
        <x:v>0.8</x:v>
      </x:c>
      <x:c r="J6" t="n">
        <x:f>G6/10</x:f>
        <x:v>0.9</x:v>
      </x:c>
    </x:row>
    <x:row r="7">
      <x:c r="A7" t="str">
        <x:v>C2 — Практическая полезность</x:v>
      </x:c>
      <x:c r="B7" t="n">
        <x:v>8</x:v>
      </x:c>
      <x:c r="C7" t="n">
        <x:v>9</x:v>
      </x:c>
      <x:c r="D7" t="n">
        <x:v>9</x:v>
      </x:c>
      <x:c r="E7" t="n">
        <x:f>MIN(B7:D7)</x:f>
        <x:v>8</x:v>
      </x:c>
      <x:c r="F7" t="n">
        <x:f>MEDIAN(B7:D7)</x:f>
        <x:v>9</x:v>
      </x:c>
      <x:c r="G7" t="n">
        <x:f>MAX(B7:D7)</x:f>
        <x:v>9</x:v>
      </x:c>
      <x:c r="H7" t="n">
        <x:f>E7/10</x:f>
        <x:v>0.8</x:v>
      </x:c>
      <x:c r="I7" t="n">
        <x:f>F7/10</x:f>
        <x:v>0.9</x:v>
      </x:c>
      <x:c r="J7" t="n">
        <x:f>G7/10</x:f>
        <x:v>0.9</x:v>
      </x:c>
    </x:row>
    <x:row r="8">
      <x:c r="A8" t="str">
        <x:v>C3 — Возможность декомпозиции</x:v>
      </x:c>
      <x:c r="B8" t="n">
        <x:v>7</x:v>
      </x:c>
      <x:c r="C8" t="n">
        <x:v>8</x:v>
      </x:c>
      <x:c r="D8" t="n">
        <x:v>7</x:v>
      </x:c>
      <x:c r="E8" t="n">
        <x:f>MIN(B8:D8)</x:f>
        <x:v>7</x:v>
      </x:c>
      <x:c r="F8" t="n">
        <x:f>MEDIAN(B8:D8)</x:f>
        <x:v>7</x:v>
      </x:c>
      <x:c r="G8" t="n">
        <x:f>MAX(B8:D8)</x:f>
        <x:v>8</x:v>
      </x:c>
      <x:c r="H8" t="n">
        <x:f>E8/10</x:f>
        <x:v>0.7</x:v>
      </x:c>
      <x:c r="I8" t="n">
        <x:f>F8/10</x:f>
        <x:v>0.7</x:v>
      </x:c>
      <x:c r="J8" t="n">
        <x:f>G8/10</x:f>
        <x:v>0.8</x:v>
      </x:c>
    </x:row>
    <x:row r="9">
      <x:c r="A9" t="str">
        <x:v>C4 — Возможность развития</x:v>
      </x:c>
      <x:c r="B9" t="n">
        <x:v>7</x:v>
      </x:c>
      <x:c r="C9" t="n">
        <x:v>8</x:v>
      </x:c>
      <x:c r="D9" t="n">
        <x:v>9</x:v>
      </x:c>
      <x:c r="E9" t="n">
        <x:f>MIN(B9:D9)</x:f>
        <x:v>7</x:v>
      </x:c>
      <x:c r="F9" t="n">
        <x:f>MEDIAN(B9:D9)</x:f>
        <x:v>8</x:v>
      </x:c>
      <x:c r="G9" t="n">
        <x:f>MAX(B9:D9)</x:f>
        <x:v>9</x:v>
      </x:c>
      <x:c r="H9" t="n">
        <x:f>E9/10</x:f>
        <x:v>0.7</x:v>
      </x:c>
      <x:c r="I9" t="n">
        <x:f>F9/10</x:f>
        <x:v>0.8</x:v>
      </x:c>
      <x:c r="J9" t="n">
        <x:f>G9/10</x:f>
        <x:v>0.9</x:v>
      </x:c>
    </x:row>
    <x:row r="10">
      <x:c r="A10" t="str">
        <x:v>C5 — Трудоёмкость</x:v>
      </x:c>
      <x:c r="B10" t="n">
        <x:v>8</x:v>
      </x:c>
      <x:c r="C10" t="n">
        <x:v>7</x:v>
      </x:c>
      <x:c r="D10" t="n">
        <x:v>8</x:v>
      </x:c>
      <x:c r="E10" t="n">
        <x:f>MIN(B10:D10)</x:f>
        <x:v>7</x:v>
      </x:c>
      <x:c r="F10" t="n">
        <x:f>MEDIAN(B10:D10)</x:f>
        <x:v>8</x:v>
      </x:c>
      <x:c r="G10" t="n">
        <x:f>MAX(B10:D10)</x:f>
        <x:v>8</x:v>
      </x:c>
      <x:c r="H10" t="n">
        <x:f>E10/10</x:f>
        <x:v>0.7</x:v>
      </x:c>
      <x:c r="I10" t="n">
        <x:f>F10/10</x:f>
        <x:v>0.8</x:v>
      </x:c>
      <x:c r="J10" t="n">
        <x:f>G10/10</x:f>
        <x:v>0.8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RowHeight="15"/>
  <x:cols>
    <x:col min="1" max="1" width="34" hidden="0" customWidth="1"/>
    <x:col min="2" max="2" width="37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 ht="25" customHeight="1">
      <x:c r="A1" s="4" t="str">
        <x:v>Взвешенная матрица</x:v>
      </x:c>
      <x:c r="B1" s="4"/>
      <x:c r="C1" s="4"/>
      <x:c r="D1" s="4"/>
      <x:c r="E1" s="4"/>
      <x:c r="F1" s="4"/>
      <x:c r="G1" s="4"/>
      <x:c r="H1" s="4"/>
    </x:row>
    <x:row r="2" ht="25" customHeight="1">
      <x:c r="A2" s="4"/>
      <x:c r="B2" s="4"/>
      <x:c r="C2" s="4"/>
      <x:c r="D2" s="4"/>
      <x:c r="E2" s="4"/>
      <x:c r="F2" s="4"/>
      <x:c r="G2" s="4"/>
      <x:c r="H2" s="4"/>
    </x:row>
    <x:row r="3" ht="26" customHeight="1">
      <x:c r="A3" s="9" t="str">
        <x:v>Нормализация выгоды и затрат; каждая строка — альтернатива × критерий</x:v>
      </x:c>
      <x:c r="B3" s="9"/>
      <x:c r="C3" s="9"/>
      <x:c r="D3" s="9"/>
      <x:c r="E3" s="9"/>
      <x:c r="F3" s="9"/>
      <x:c r="G3" s="9"/>
      <x:c r="H3" s="9"/>
    </x:row>
    <x:row r="5" ht="29" customHeight="1">
      <x:c r="A5" s="16" t="str">
        <x:v>Альтернатива</x:v>
      </x:c>
      <x:c r="B5" s="16" t="str">
        <x:v>Критерий</x:v>
      </x:c>
      <x:c r="C5" s="16" t="str">
        <x:v>l</x:v>
      </x:c>
      <x:c r="D5" s="16" t="str">
        <x:v>m</x:v>
      </x:c>
      <x:c r="E5" s="16" t="str">
        <x:v>u</x:v>
      </x:c>
      <x:c r="F5" s="16" t="str">
        <x:v>Норма l</x:v>
      </x:c>
      <x:c r="G5" s="16" t="str">
        <x:v>Норма m</x:v>
      </x:c>
      <x:c r="H5" s="16" t="str">
        <x:v>Норма u</x:v>
      </x:c>
      <x:c r="I5" t="str">
        <x:v>Вес l</x:v>
      </x:c>
      <x:c r="J5" t="str">
        <x:v>Вес m</x:v>
      </x:c>
      <x:c r="K5" t="str">
        <x:v>Вес u</x:v>
      </x:c>
    </x:row>
    <x:row r="6">
      <x:c r="A6" t="str">
        <x:v>A1 — ИС автосервиса</x:v>
      </x:c>
      <x:c r="B6" t="str">
        <x:v>C1 — Простота реализации</x:v>
      </x:c>
      <x:c r="C6" t="n">
        <x:f>'Оценки экспертов'!F6</x:f>
        <x:v>7</x:v>
      </x:c>
      <x:c r="D6" t="n">
        <x:f>'Оценки экспертов'!G6</x:f>
        <x:v>8</x:v>
      </x:c>
      <x:c r="E6" t="n">
        <x:f>'Оценки экспертов'!H6</x:f>
        <x:v>8</x:v>
      </x:c>
      <x:c r="F6" t="n">
        <x:f>C6/9</x:f>
        <x:v>0.7777777777777778</x:v>
      </x:c>
      <x:c r="G6" t="n">
        <x:f>D6/9</x:f>
        <x:v>0.8888888888888888</x:v>
      </x:c>
      <x:c r="H6" t="n">
        <x:f>E6/9</x:f>
        <x:v>0.8888888888888888</x:v>
      </x:c>
      <x:c r="I6" t="n">
        <x:f>F6*'Веса критериев'!H6</x:f>
        <x:v>0.6222222222222222</x:v>
      </x:c>
      <x:c r="J6" t="n">
        <x:f>G6*'Веса критериев'!I6</x:f>
        <x:v>0.7111111111111111</x:v>
      </x:c>
      <x:c r="K6" t="n">
        <x:f>H6*'Веса критериев'!J6</x:f>
        <x:v>0.7999999999999999</x:v>
      </x:c>
    </x:row>
    <x:row r="7">
      <x:c r="A7" t="str">
        <x:v>A1 — ИС автосервиса</x:v>
      </x:c>
      <x:c r="B7" t="str">
        <x:v>C2 — Практическая полезность</x:v>
      </x:c>
      <x:c r="C7" t="n">
        <x:f>'Оценки экспертов'!F7</x:f>
        <x:v>9</x:v>
      </x:c>
      <x:c r="D7" t="n">
        <x:f>'Оценки экспертов'!G7</x:f>
        <x:v>9</x:v>
      </x:c>
      <x:c r="E7" t="n">
        <x:f>'Оценки экспертов'!H7</x:f>
        <x:v>10</x:v>
      </x:c>
      <x:c r="F7" t="n">
        <x:f>C7/10</x:f>
        <x:v>0.9</x:v>
      </x:c>
      <x:c r="G7" t="n">
        <x:f>D7/10</x:f>
        <x:v>0.9</x:v>
      </x:c>
      <x:c r="H7" t="n">
        <x:f>E7/10</x:f>
        <x:v>1</x:v>
      </x:c>
      <x:c r="I7" t="n">
        <x:f>F7*'Веса критериев'!H7</x:f>
        <x:v>0.7200000000000001</x:v>
      </x:c>
      <x:c r="J7" t="n">
        <x:f>G7*'Веса критериев'!I7</x:f>
        <x:v>0.81</x:v>
      </x:c>
      <x:c r="K7" t="n">
        <x:f>H7*'Веса критериев'!J7</x:f>
        <x:v>0.9</x:v>
      </x:c>
    </x:row>
    <x:row r="8">
      <x:c r="A8" t="str">
        <x:v>A1 — ИС автосервиса</x:v>
      </x:c>
      <x:c r="B8" t="str">
        <x:v>C3 — Возможность декомпозиции</x:v>
      </x:c>
      <x:c r="C8" t="n">
        <x:f>'Оценки экспертов'!F8</x:f>
        <x:v>8</x:v>
      </x:c>
      <x:c r="D8" t="n">
        <x:f>'Оценки экспертов'!G8</x:f>
        <x:v>9</x:v>
      </x:c>
      <x:c r="E8" t="n">
        <x:f>'Оценки экспертов'!H8</x:f>
        <x:v>9</x:v>
      </x:c>
      <x:c r="F8" t="n">
        <x:f>C8/9</x:f>
        <x:v>0.8888888888888888</x:v>
      </x:c>
      <x:c r="G8" t="n">
        <x:f>D8/9</x:f>
        <x:v>1</x:v>
      </x:c>
      <x:c r="H8" t="n">
        <x:f>E8/9</x:f>
        <x:v>1</x:v>
      </x:c>
      <x:c r="I8" t="n">
        <x:f>F8*'Веса критериев'!H8</x:f>
        <x:v>0.6222222222222221</x:v>
      </x:c>
      <x:c r="J8" t="n">
        <x:f>G8*'Веса критериев'!I8</x:f>
        <x:v>0.7</x:v>
      </x:c>
      <x:c r="K8" t="n">
        <x:f>H8*'Веса критериев'!J8</x:f>
        <x:v>0.8</x:v>
      </x:c>
    </x:row>
    <x:row r="9">
      <x:c r="A9" t="str">
        <x:v>A1 — ИС автосервиса</x:v>
      </x:c>
      <x:c r="B9" t="str">
        <x:v>C4 — Возможность развития</x:v>
      </x:c>
      <x:c r="C9" t="n">
        <x:f>'Оценки экспертов'!F9</x:f>
        <x:v>9</x:v>
      </x:c>
      <x:c r="D9" t="n">
        <x:f>'Оценки экспертов'!G9</x:f>
        <x:v>9</x:v>
      </x:c>
      <x:c r="E9" t="n">
        <x:f>'Оценки экспертов'!H9</x:f>
        <x:v>10</x:v>
      </x:c>
      <x:c r="F9" t="n">
        <x:f>C9/10</x:f>
        <x:v>0.9</x:v>
      </x:c>
      <x:c r="G9" t="n">
        <x:f>D9/10</x:f>
        <x:v>0.9</x:v>
      </x:c>
      <x:c r="H9" t="n">
        <x:f>E9/10</x:f>
        <x:v>1</x:v>
      </x:c>
      <x:c r="I9" t="n">
        <x:f>F9*'Веса критериев'!H9</x:f>
        <x:v>0.63</x:v>
      </x:c>
      <x:c r="J9" t="n">
        <x:f>G9*'Веса критериев'!I9</x:f>
        <x:v>0.7200000000000001</x:v>
      </x:c>
      <x:c r="K9" t="n">
        <x:f>H9*'Веса критериев'!J9</x:f>
        <x:v>0.9</x:v>
      </x:c>
    </x:row>
    <x:row r="10">
      <x:c r="A10" t="str">
        <x:v>A1 — ИС автосервиса</x:v>
      </x:c>
      <x:c r="B10" t="str">
        <x:v>C5 — Трудоёмкость</x:v>
      </x:c>
      <x:c r="C10" t="n">
        <x:f>'Оценки экспертов'!F10</x:f>
        <x:v>7</x:v>
      </x:c>
      <x:c r="D10" t="n">
        <x:f>'Оценки экспертов'!G10</x:f>
        <x:v>7</x:v>
      </x:c>
      <x:c r="E10" t="n">
        <x:f>'Оценки экспертов'!H10</x:f>
        <x:v>8</x:v>
      </x:c>
      <x:c r="F10" t="n">
        <x:f>4/E10</x:f>
        <x:v>0.5</x:v>
      </x:c>
      <x:c r="G10" t="n">
        <x:f>4/D10</x:f>
        <x:v>0.5714285714285714</x:v>
      </x:c>
      <x:c r="H10" t="n">
        <x:f>4/C10</x:f>
        <x:v>0.5714285714285714</x:v>
      </x:c>
      <x:c r="I10" t="n">
        <x:f>F10*'Веса критериев'!H10</x:f>
        <x:v>0.35</x:v>
      </x:c>
      <x:c r="J10" t="n">
        <x:f>G10*'Веса критериев'!I10</x:f>
        <x:v>0.45714285714285713</x:v>
      </x:c>
      <x:c r="K10" t="n">
        <x:f>H10*'Веса критериев'!J10</x:f>
        <x:v>0.45714285714285713</x:v>
      </x:c>
    </x:row>
    <x:row r="11">
      <x:c r="A11" t="str">
        <x:v>A2 — Бронирование переговорных</x:v>
      </x:c>
      <x:c r="B11" t="str">
        <x:v>C1 — Простота реализации</x:v>
      </x:c>
      <x:c r="C11" t="n">
        <x:f>'Оценки экспертов'!F11</x:f>
        <x:v>8</x:v>
      </x:c>
      <x:c r="D11" t="n">
        <x:f>'Оценки экспертов'!G11</x:f>
        <x:v>9</x:v>
      </x:c>
      <x:c r="E11" t="n">
        <x:f>'Оценки экспертов'!H11</x:f>
        <x:v>9</x:v>
      </x:c>
      <x:c r="F11" t="n">
        <x:f>C11/9</x:f>
        <x:v>0.8888888888888888</x:v>
      </x:c>
      <x:c r="G11" t="n">
        <x:f>D11/9</x:f>
        <x:v>1</x:v>
      </x:c>
      <x:c r="H11" t="n">
        <x:f>E11/9</x:f>
        <x:v>1</x:v>
      </x:c>
      <x:c r="I11" t="n">
        <x:f>F11*'Веса критериев'!H6</x:f>
        <x:v>0.7111111111111111</x:v>
      </x:c>
      <x:c r="J11" t="n">
        <x:f>G11*'Веса критериев'!I6</x:f>
        <x:v>0.8</x:v>
      </x:c>
      <x:c r="K11" t="n">
        <x:f>H11*'Веса критериев'!J6</x:f>
        <x:v>0.9</x:v>
      </x:c>
    </x:row>
    <x:row r="12">
      <x:c r="A12" t="str">
        <x:v>A2 — Бронирование переговорных</x:v>
      </x:c>
      <x:c r="B12" t="str">
        <x:v>C2 — Практическая полезность</x:v>
      </x:c>
      <x:c r="C12" t="n">
        <x:f>'Оценки экспертов'!F12</x:f>
        <x:v>7</x:v>
      </x:c>
      <x:c r="D12" t="n">
        <x:f>'Оценки экспертов'!G12</x:f>
        <x:v>7</x:v>
      </x:c>
      <x:c r="E12" t="n">
        <x:f>'Оценки экспертов'!H12</x:f>
        <x:v>8</x:v>
      </x:c>
      <x:c r="F12" t="n">
        <x:f>C12/10</x:f>
        <x:v>0.7</x:v>
      </x:c>
      <x:c r="G12" t="n">
        <x:f>D12/10</x:f>
        <x:v>0.7</x:v>
      </x:c>
      <x:c r="H12" t="n">
        <x:f>E12/10</x:f>
        <x:v>0.8</x:v>
      </x:c>
      <x:c r="I12" t="n">
        <x:f>F12*'Веса критериев'!H7</x:f>
        <x:v>0.5599999999999999</x:v>
      </x:c>
      <x:c r="J12" t="n">
        <x:f>G12*'Веса критериев'!I7</x:f>
        <x:v>0.63</x:v>
      </x:c>
      <x:c r="K12" t="n">
        <x:f>H12*'Веса критериев'!J7</x:f>
        <x:v>0.7200000000000001</x:v>
      </x:c>
    </x:row>
    <x:row r="13">
      <x:c r="A13" t="str">
        <x:v>A2 — Бронирование переговорных</x:v>
      </x:c>
      <x:c r="B13" t="str">
        <x:v>C3 — Возможность декомпозиции</x:v>
      </x:c>
      <x:c r="C13" t="n">
        <x:f>'Оценки экспертов'!F13</x:f>
        <x:v>7</x:v>
      </x:c>
      <x:c r="D13" t="n">
        <x:f>'Оценки экспертов'!G13</x:f>
        <x:v>7</x:v>
      </x:c>
      <x:c r="E13" t="n">
        <x:f>'Оценки экспертов'!H13</x:f>
        <x:v>8</x:v>
      </x:c>
      <x:c r="F13" t="n">
        <x:f>C13/9</x:f>
        <x:v>0.7777777777777778</x:v>
      </x:c>
      <x:c r="G13" t="n">
        <x:f>D13/9</x:f>
        <x:v>0.7777777777777778</x:v>
      </x:c>
      <x:c r="H13" t="n">
        <x:f>E13/9</x:f>
        <x:v>0.8888888888888888</x:v>
      </x:c>
      <x:c r="I13" t="n">
        <x:f>F13*'Веса критериев'!H8</x:f>
        <x:v>0.5444444444444444</x:v>
      </x:c>
      <x:c r="J13" t="n">
        <x:f>G13*'Веса критериев'!I8</x:f>
        <x:v>0.5444444444444444</x:v>
      </x:c>
      <x:c r="K13" t="n">
        <x:f>H13*'Веса критериев'!J8</x:f>
        <x:v>0.7111111111111111</x:v>
      </x:c>
    </x:row>
    <x:row r="14">
      <x:c r="A14" t="str">
        <x:v>A2 — Бронирование переговорных</x:v>
      </x:c>
      <x:c r="B14" t="str">
        <x:v>C4 — Возможность развития</x:v>
      </x:c>
      <x:c r="C14" t="n">
        <x:f>'Оценки экспертов'!F14</x:f>
        <x:v>7</x:v>
      </x:c>
      <x:c r="D14" t="n">
        <x:f>'Оценки экспертов'!G14</x:f>
        <x:v>7</x:v>
      </x:c>
      <x:c r="E14" t="n">
        <x:f>'Оценки экспертов'!H14</x:f>
        <x:v>8</x:v>
      </x:c>
      <x:c r="F14" t="n">
        <x:f>C14/10</x:f>
        <x:v>0.7</x:v>
      </x:c>
      <x:c r="G14" t="n">
        <x:f>D14/10</x:f>
        <x:v>0.7</x:v>
      </x:c>
      <x:c r="H14" t="n">
        <x:f>E14/10</x:f>
        <x:v>0.8</x:v>
      </x:c>
      <x:c r="I14" t="n">
        <x:f>F14*'Веса критериев'!H9</x:f>
        <x:v>0.48999999999999994</x:v>
      </x:c>
      <x:c r="J14" t="n">
        <x:f>G14*'Веса критериев'!I9</x:f>
        <x:v>0.5599999999999999</x:v>
      </x:c>
      <x:c r="K14" t="n">
        <x:f>H14*'Веса критериев'!J9</x:f>
        <x:v>0.7200000000000001</x:v>
      </x:c>
    </x:row>
    <x:row r="15">
      <x:c r="A15" t="str">
        <x:v>A2 — Бронирование переговорных</x:v>
      </x:c>
      <x:c r="B15" t="str">
        <x:v>C5 — Трудоёмкость</x:v>
      </x:c>
      <x:c r="C15" t="n">
        <x:f>'Оценки экспертов'!F15</x:f>
        <x:v>4</x:v>
      </x:c>
      <x:c r="D15" t="n">
        <x:f>'Оценки экспертов'!G15</x:f>
        <x:v>5</x:v>
      </x:c>
      <x:c r="E15" t="n">
        <x:f>'Оценки экспертов'!H15</x:f>
        <x:v>5</x:v>
      </x:c>
      <x:c r="F15" t="n">
        <x:f>4/E15</x:f>
        <x:v>0.8</x:v>
      </x:c>
      <x:c r="G15" t="n">
        <x:f>4/D15</x:f>
        <x:v>0.8</x:v>
      </x:c>
      <x:c r="H15" t="n">
        <x:f>4/C15</x:f>
        <x:v>1</x:v>
      </x:c>
      <x:c r="I15" t="n">
        <x:f>F15*'Веса критериев'!H10</x:f>
        <x:v>0.5599999999999999</x:v>
      </x:c>
      <x:c r="J15" t="n">
        <x:f>G15*'Веса критериев'!I10</x:f>
        <x:v>0.6400000000000001</x:v>
      </x:c>
      <x:c r="K15" t="n">
        <x:f>H15*'Веса критериев'!J10</x:f>
        <x:v>0.8</x:v>
      </x:c>
    </x:row>
    <x:row r="16">
      <x:c r="A16" t="str">
        <x:v>A3 — Студенческие проекты</x:v>
      </x:c>
      <x:c r="B16" t="str">
        <x:v>C1 — Простота реализации</x:v>
      </x:c>
      <x:c r="C16" t="n">
        <x:f>'Оценки экспертов'!F16</x:f>
        <x:v>7</x:v>
      </x:c>
      <x:c r="D16" t="n">
        <x:f>'Оценки экспертов'!G16</x:f>
        <x:v>7</x:v>
      </x:c>
      <x:c r="E16" t="n">
        <x:f>'Оценки экспертов'!H16</x:f>
        <x:v>8</x:v>
      </x:c>
      <x:c r="F16" t="n">
        <x:f>C16/9</x:f>
        <x:v>0.7777777777777778</x:v>
      </x:c>
      <x:c r="G16" t="n">
        <x:f>D16/9</x:f>
        <x:v>0.7777777777777778</x:v>
      </x:c>
      <x:c r="H16" t="n">
        <x:f>E16/9</x:f>
        <x:v>0.8888888888888888</x:v>
      </x:c>
      <x:c r="I16" t="n">
        <x:f>F16*'Веса критериев'!H6</x:f>
        <x:v>0.6222222222222222</x:v>
      </x:c>
      <x:c r="J16" t="n">
        <x:f>G16*'Веса критериев'!I6</x:f>
        <x:v>0.6222222222222222</x:v>
      </x:c>
      <x:c r="K16" t="n">
        <x:f>H16*'Веса критериев'!J6</x:f>
        <x:v>0.7999999999999999</x:v>
      </x:c>
    </x:row>
    <x:row r="17">
      <x:c r="A17" t="str">
        <x:v>A3 — Студенческие проекты</x:v>
      </x:c>
      <x:c r="B17" t="str">
        <x:v>C2 — Практическая полезность</x:v>
      </x:c>
      <x:c r="C17" t="n">
        <x:f>'Оценки экспертов'!F17</x:f>
        <x:v>8</x:v>
      </x:c>
      <x:c r="D17" t="n">
        <x:f>'Оценки экспертов'!G17</x:f>
        <x:v>8</x:v>
      </x:c>
      <x:c r="E17" t="n">
        <x:f>'Оценки экспертов'!H17</x:f>
        <x:v>9</x:v>
      </x:c>
      <x:c r="F17" t="n">
        <x:f>C17/10</x:f>
        <x:v>0.8</x:v>
      </x:c>
      <x:c r="G17" t="n">
        <x:f>D17/10</x:f>
        <x:v>0.8</x:v>
      </x:c>
      <x:c r="H17" t="n">
        <x:f>E17/10</x:f>
        <x:v>0.9</x:v>
      </x:c>
      <x:c r="I17" t="n">
        <x:f>F17*'Веса критериев'!H7</x:f>
        <x:v>0.6400000000000001</x:v>
      </x:c>
      <x:c r="J17" t="n">
        <x:f>G17*'Веса критериев'!I7</x:f>
        <x:v>0.7200000000000001</x:v>
      </x:c>
      <x:c r="K17" t="n">
        <x:f>H17*'Веса критериев'!J7</x:f>
        <x:v>0.81</x:v>
      </x:c>
    </x:row>
    <x:row r="18">
      <x:c r="A18" t="str">
        <x:v>A3 — Студенческие проекты</x:v>
      </x:c>
      <x:c r="B18" t="str">
        <x:v>C3 — Возможность декомпозиции</x:v>
      </x:c>
      <x:c r="C18" t="n">
        <x:f>'Оценки экспертов'!F18</x:f>
        <x:v>8</x:v>
      </x:c>
      <x:c r="D18" t="n">
        <x:f>'Оценки экспертов'!G18</x:f>
        <x:v>9</x:v>
      </x:c>
      <x:c r="E18" t="n">
        <x:f>'Оценки экспертов'!H18</x:f>
        <x:v>9</x:v>
      </x:c>
      <x:c r="F18" t="n">
        <x:f>C18/9</x:f>
        <x:v>0.8888888888888888</x:v>
      </x:c>
      <x:c r="G18" t="n">
        <x:f>D18/9</x:f>
        <x:v>1</x:v>
      </x:c>
      <x:c r="H18" t="n">
        <x:f>E18/9</x:f>
        <x:v>1</x:v>
      </x:c>
      <x:c r="I18" t="n">
        <x:f>F18*'Веса критериев'!H8</x:f>
        <x:v>0.6222222222222221</x:v>
      </x:c>
      <x:c r="J18" t="n">
        <x:f>G18*'Веса критериев'!I8</x:f>
        <x:v>0.7</x:v>
      </x:c>
      <x:c r="K18" t="n">
        <x:f>H18*'Веса критериев'!J8</x:f>
        <x:v>0.8</x:v>
      </x:c>
    </x:row>
    <x:row r="19">
      <x:c r="A19" t="str">
        <x:v>A3 — Студенческие проекты</x:v>
      </x:c>
      <x:c r="B19" t="str">
        <x:v>C4 — Возможность развития</x:v>
      </x:c>
      <x:c r="C19" t="n">
        <x:f>'Оценки экспертов'!F19</x:f>
        <x:v>9</x:v>
      </x:c>
      <x:c r="D19" t="n">
        <x:f>'Оценки экспертов'!G19</x:f>
        <x:v>9</x:v>
      </x:c>
      <x:c r="E19" t="n">
        <x:f>'Оценки экспертов'!H19</x:f>
        <x:v>9</x:v>
      </x:c>
      <x:c r="F19" t="n">
        <x:f>C19/10</x:f>
        <x:v>0.9</x:v>
      </x:c>
      <x:c r="G19" t="n">
        <x:f>D19/10</x:f>
        <x:v>0.9</x:v>
      </x:c>
      <x:c r="H19" t="n">
        <x:f>E19/10</x:f>
        <x:v>0.9</x:v>
      </x:c>
      <x:c r="I19" t="n">
        <x:f>F19*'Веса критериев'!H9</x:f>
        <x:v>0.63</x:v>
      </x:c>
      <x:c r="J19" t="n">
        <x:f>G19*'Веса критериев'!I9</x:f>
        <x:v>0.7200000000000001</x:v>
      </x:c>
      <x:c r="K19" t="n">
        <x:f>H19*'Веса критериев'!J9</x:f>
        <x:v>0.81</x:v>
      </x:c>
    </x:row>
    <x:row r="20">
      <x:c r="A20" t="str">
        <x:v>A3 — Студенческие проекты</x:v>
      </x:c>
      <x:c r="B20" t="str">
        <x:v>C5 — Трудоёмкость</x:v>
      </x:c>
      <x:c r="C20" t="n">
        <x:f>'Оценки экспертов'!F20</x:f>
        <x:v>6</x:v>
      </x:c>
      <x:c r="D20" t="n">
        <x:f>'Оценки экспертов'!G20</x:f>
        <x:v>7</x:v>
      </x:c>
      <x:c r="E20" t="n">
        <x:f>'Оценки экспертов'!H20</x:f>
        <x:v>7</x:v>
      </x:c>
      <x:c r="F20" t="n">
        <x:f>4/E20</x:f>
        <x:v>0.5714285714285714</x:v>
      </x:c>
      <x:c r="G20" t="n">
        <x:f>4/D20</x:f>
        <x:v>0.5714285714285714</x:v>
      </x:c>
      <x:c r="H20" t="n">
        <x:f>4/C20</x:f>
        <x:v>0.6666666666666666</x:v>
      </x:c>
      <x:c r="I20" t="n">
        <x:f>F20*'Веса критериев'!H10</x:f>
        <x:v>0.39999999999999997</x:v>
      </x:c>
      <x:c r="J20" t="n">
        <x:f>G20*'Веса критериев'!I10</x:f>
        <x:v>0.45714285714285713</x:v>
      </x:c>
      <x:c r="K20" t="n">
        <x:f>H20*'Веса критериев'!J10</x:f>
        <x:v>0.5333333333333333</x:v>
      </x:c>
    </x:row>
    <x:row r="21">
      <x:c r="A21" t="str">
        <x:v>A4 — Учёт оборудования</x:v>
      </x:c>
      <x:c r="B21" t="str">
        <x:v>C1 — Простота реализации</x:v>
      </x:c>
      <x:c r="C21" t="n">
        <x:f>'Оценки экспертов'!F21</x:f>
        <x:v>7</x:v>
      </x:c>
      <x:c r="D21" t="n">
        <x:f>'Оценки экспертов'!G21</x:f>
        <x:v>8</x:v>
      </x:c>
      <x:c r="E21" t="n">
        <x:f>'Оценки экспертов'!H21</x:f>
        <x:v>8</x:v>
      </x:c>
      <x:c r="F21" t="n">
        <x:f>C21/9</x:f>
        <x:v>0.7777777777777778</x:v>
      </x:c>
      <x:c r="G21" t="n">
        <x:f>D21/9</x:f>
        <x:v>0.8888888888888888</x:v>
      </x:c>
      <x:c r="H21" t="n">
        <x:f>E21/9</x:f>
        <x:v>0.8888888888888888</x:v>
      </x:c>
      <x:c r="I21" t="n">
        <x:f>F21*'Веса критериев'!H6</x:f>
        <x:v>0.6222222222222222</x:v>
      </x:c>
      <x:c r="J21" t="n">
        <x:f>G21*'Веса критериев'!I6</x:f>
        <x:v>0.7111111111111111</x:v>
      </x:c>
      <x:c r="K21" t="n">
        <x:f>H21*'Веса критериев'!J6</x:f>
        <x:v>0.7999999999999999</x:v>
      </x:c>
    </x:row>
    <x:row r="22">
      <x:c r="A22" t="str">
        <x:v>A4 — Учёт оборудования</x:v>
      </x:c>
      <x:c r="B22" t="str">
        <x:v>C2 — Практическая полезность</x:v>
      </x:c>
      <x:c r="C22" t="n">
        <x:f>'Оценки экспертов'!F22</x:f>
        <x:v>8</x:v>
      </x:c>
      <x:c r="D22" t="n">
        <x:f>'Оценки экспертов'!G22</x:f>
        <x:v>9</x:v>
      </x:c>
      <x:c r="E22" t="n">
        <x:f>'Оценки экспертов'!H22</x:f>
        <x:v>9</x:v>
      </x:c>
      <x:c r="F22" t="n">
        <x:f>C22/10</x:f>
        <x:v>0.8</x:v>
      </x:c>
      <x:c r="G22" t="n">
        <x:f>D22/10</x:f>
        <x:v>0.9</x:v>
      </x:c>
      <x:c r="H22" t="n">
        <x:f>E22/10</x:f>
        <x:v>0.9</x:v>
      </x:c>
      <x:c r="I22" t="n">
        <x:f>F22*'Веса критериев'!H7</x:f>
        <x:v>0.6400000000000001</x:v>
      </x:c>
      <x:c r="J22" t="n">
        <x:f>G22*'Веса критериев'!I7</x:f>
        <x:v>0.81</x:v>
      </x:c>
      <x:c r="K22" t="n">
        <x:f>H22*'Веса критериев'!J7</x:f>
        <x:v>0.81</x:v>
      </x:c>
    </x:row>
    <x:row r="23">
      <x:c r="A23" t="str">
        <x:v>A4 — Учёт оборудования</x:v>
      </x:c>
      <x:c r="B23" t="str">
        <x:v>C3 — Возможность декомпозиции</x:v>
      </x:c>
      <x:c r="C23" t="n">
        <x:f>'Оценки экспертов'!F23</x:f>
        <x:v>8</x:v>
      </x:c>
      <x:c r="D23" t="n">
        <x:f>'Оценки экспертов'!G23</x:f>
        <x:v>8</x:v>
      </x:c>
      <x:c r="E23" t="n">
        <x:f>'Оценки экспертов'!H23</x:f>
        <x:v>9</x:v>
      </x:c>
      <x:c r="F23" t="n">
        <x:f>C23/9</x:f>
        <x:v>0.8888888888888888</x:v>
      </x:c>
      <x:c r="G23" t="n">
        <x:f>D23/9</x:f>
        <x:v>0.8888888888888888</x:v>
      </x:c>
      <x:c r="H23" t="n">
        <x:f>E23/9</x:f>
        <x:v>1</x:v>
      </x:c>
      <x:c r="I23" t="n">
        <x:f>F23*'Веса критериев'!H8</x:f>
        <x:v>0.6222222222222221</x:v>
      </x:c>
      <x:c r="J23" t="n">
        <x:f>G23*'Веса критериев'!I8</x:f>
        <x:v>0.6222222222222221</x:v>
      </x:c>
      <x:c r="K23" t="n">
        <x:f>H23*'Веса критериев'!J8</x:f>
        <x:v>0.8</x:v>
      </x:c>
    </x:row>
    <x:row r="24">
      <x:c r="A24" t="str">
        <x:v>A4 — Учёт оборудования</x:v>
      </x:c>
      <x:c r="B24" t="str">
        <x:v>C4 — Возможность развития</x:v>
      </x:c>
      <x:c r="C24" t="n">
        <x:f>'Оценки экспертов'!F24</x:f>
        <x:v>8</x:v>
      </x:c>
      <x:c r="D24" t="n">
        <x:f>'Оценки экспертов'!G24</x:f>
        <x:v>9</x:v>
      </x:c>
      <x:c r="E24" t="n">
        <x:f>'Оценки экспертов'!H24</x:f>
        <x:v>9</x:v>
      </x:c>
      <x:c r="F24" t="n">
        <x:f>C24/10</x:f>
        <x:v>0.8</x:v>
      </x:c>
      <x:c r="G24" t="n">
        <x:f>D24/10</x:f>
        <x:v>0.9</x:v>
      </x:c>
      <x:c r="H24" t="n">
        <x:f>E24/10</x:f>
        <x:v>0.9</x:v>
      </x:c>
      <x:c r="I24" t="n">
        <x:f>F24*'Веса критериев'!H9</x:f>
        <x:v>0.5599999999999999</x:v>
      </x:c>
      <x:c r="J24" t="n">
        <x:f>G24*'Веса критериев'!I9</x:f>
        <x:v>0.7200000000000001</x:v>
      </x:c>
      <x:c r="K24" t="n">
        <x:f>H24*'Веса критериев'!J9</x:f>
        <x:v>0.81</x:v>
      </x:c>
    </x:row>
    <x:row r="25">
      <x:c r="A25" t="str">
        <x:v>A4 — Учёт оборудования</x:v>
      </x:c>
      <x:c r="B25" t="str">
        <x:v>C5 — Трудоёмкость</x:v>
      </x:c>
      <x:c r="C25" t="n">
        <x:f>'Оценки экспертов'!F25</x:f>
        <x:v>6</x:v>
      </x:c>
      <x:c r="D25" t="n">
        <x:f>'Оценки экспертов'!G25</x:f>
        <x:v>6</x:v>
      </x:c>
      <x:c r="E25" t="n">
        <x:f>'Оценки экспертов'!H25</x:f>
        <x:v>7</x:v>
      </x:c>
      <x:c r="F25" t="n">
        <x:f>4/E25</x:f>
        <x:v>0.5714285714285714</x:v>
      </x:c>
      <x:c r="G25" t="n">
        <x:f>4/D25</x:f>
        <x:v>0.6666666666666666</x:v>
      </x:c>
      <x:c r="H25" t="n">
        <x:f>4/C25</x:f>
        <x:v>0.6666666666666666</x:v>
      </x:c>
      <x:c r="I25" t="n">
        <x:f>F25*'Веса критериев'!H10</x:f>
        <x:v>0.39999999999999997</x:v>
      </x:c>
      <x:c r="J25" t="n">
        <x:f>G25*'Веса критериев'!I10</x:f>
        <x:v>0.5333333333333333</x:v>
      </x:c>
      <x:c r="K25" t="n">
        <x:f>H25*'Веса критериев'!J10</x:f>
        <x:v>0.5333333333333333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RowHeight="15"/>
  <x:cols>
    <x:col min="1" max="1" width="3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 ht="25" customHeight="1">
      <x:c r="A1" s="4" t="str">
        <x:v>Результат TOPSIS</x:v>
      </x:c>
      <x:c r="B1" s="4"/>
      <x:c r="C1" s="4"/>
      <x:c r="D1" s="4"/>
      <x:c r="E1" s="4"/>
      <x:c r="F1" s="4"/>
      <x:c r="G1" s="4"/>
      <x:c r="H1" s="4"/>
    </x:row>
    <x:row r="2" ht="25" customHeight="1">
      <x:c r="A2" s="4"/>
      <x:c r="B2" s="4"/>
      <x:c r="C2" s="4"/>
      <x:c r="D2" s="4"/>
      <x:c r="E2" s="4"/>
      <x:c r="F2" s="4"/>
      <x:c r="G2" s="4"/>
      <x:c r="H2" s="4"/>
    </x:row>
    <x:row r="3" ht="26" customHeight="1">
      <x:c r="A3" s="9" t="str">
        <x:v>Расстояния до идеальных решений (1,1,1) и (0,0,0)</x:v>
      </x:c>
      <x:c r="B3" s="9"/>
      <x:c r="C3" s="9"/>
      <x:c r="D3" s="9"/>
      <x:c r="E3" s="9"/>
      <x:c r="F3" s="9"/>
      <x:c r="G3" s="9"/>
      <x:c r="H3" s="9"/>
    </x:row>
    <x:row r="5" ht="29" customHeight="1">
      <x:c r="A5" s="16" t="str">
        <x:v>Альтернатива</x:v>
      </x:c>
      <x:c r="B5" s="16" t="str">
        <x:v>D+</x:v>
      </x:c>
      <x:c r="C5" s="16" t="str">
        <x:v>D−</x:v>
      </x:c>
      <x:c r="D5" s="16" t="str">
        <x:v>CC</x:v>
      </x:c>
      <x:c r="E5" s="16" t="str">
        <x:v>Место</x:v>
      </x:c>
    </x:row>
    <x:row r="6">
      <x:c r="A6" t="str">
        <x:v>A1 — ИС автосервиса</x:v>
      </x:c>
      <x:c r="B6" s="20" t="n">
        <x:f>SQRT(((1-'Нормализация'!I6)^2+(1-'Нормализация'!J6)^2+(1-'Нормализация'!K6)^2)/3)+SQRT(((1-'Нормализация'!I7)^2+(1-'Нормализация'!J7)^2+(1-'Нормализация'!K7)^2)/3)+SQRT(((1-'Нормализация'!I8)^2+(1-'Нормализация'!J8)^2+(1-'Нормализация'!K8)^2)/3)+SQRT(((1-'Нормализация'!I9)^2+(1-'Нормализация'!J9)^2+(1-'Нормализация'!K9)^2)/3)+SQRT(((1-'Нормализация'!I10)^2+(1-'Нормализация'!J10)^2+(1-'Нормализация'!K10)^2)/3)</x:f>
        <x:v>1.6579024617415483</x:v>
      </x:c>
      <x:c r="C6" s="20" t="n">
        <x:f>SQRT((('Нормализация'!I6)^2+('Нормализация'!J6)^2+('Нормализация'!K6)^2)/3)+SQRT((('Нормализация'!I7)^2+('Нормализация'!J7)^2+('Нормализация'!K7)^2)/3)+SQRT((('Нормализация'!I8)^2+('Нормализация'!J8)^2+('Нормализация'!K8)^2)/3)+SQRT((('Нормализация'!I9)^2+('Нормализация'!J9)^2+('Нормализация'!K9)^2)/3)+SQRT((('Нормализация'!I10)^2+('Нормализация'!J10)^2+('Нормализация'!K10)^2)/3)</x:f>
        <x:v>3.422069662424322</x:v>
      </x:c>
      <x:c r="D6" s="20" t="n">
        <x:f>C6/(B6+C6)</x:f>
        <x:v>0.6736394568279693</x:v>
      </x:c>
      <x:c r="E6" t="n">
        <x:f>RANK(D6,$D$6:$D$9,0)</x:f>
        <x:v>1</x:v>
      </x:c>
    </x:row>
    <x:row r="7">
      <x:c r="A7" t="str">
        <x:v>A2 — Бронирование переговорных</x:v>
      </x:c>
      <x:c r="B7" s="20" t="n">
        <x:f>SQRT(((1-'Нормализация'!I11)^2+(1-'Нормализация'!J11)^2+(1-'Нормализация'!K11)^2)/3)+SQRT(((1-'Нормализация'!I12)^2+(1-'Нормализация'!J12)^2+(1-'Нормализация'!K12)^2)/3)+SQRT(((1-'Нормализация'!I13)^2+(1-'Нормализация'!J13)^2+(1-'Нормализация'!K13)^2)/3)+SQRT(((1-'Нормализация'!I14)^2+(1-'Нормализация'!J14)^2+(1-'Нормализация'!K14)^2)/3)+SQRT(((1-'Нормализация'!I15)^2+(1-'Нормализация'!J15)^2+(1-'Нормализация'!K15)^2)/3)</x:f>
        <x:v>1.756842995000894</x:v>
      </x:c>
      <x:c r="C7" s="20" t="n">
        <x:f>SQRT((('Нормализация'!I11)^2+('Нормализация'!J11)^2+('Нормализация'!K11)^2)/3)+SQRT((('Нормализация'!I12)^2+('Нормализация'!J12)^2+('Нормализация'!K12)^2)/3)+SQRT((('Нормализация'!I13)^2+('Нормализация'!J13)^2+('Нормализация'!K13)^2)/3)+SQRT((('Нормализация'!I14)^2+('Нормализация'!J14)^2+('Нормализация'!K14)^2)/3)+SQRT((('Нормализация'!I15)^2+('Нормализация'!J15)^2+('Нормализация'!K15)^2)/3)</x:f>
        <x:v>3.324440632517841</x:v>
      </x:c>
      <x:c r="D7" s="20" t="n">
        <x:f>C7/(B7+C7)</x:f>
        <x:v>0.6542521292284591</x:v>
      </x:c>
      <x:c r="E7" t="n">
        <x:f>RANK(D7,$D$6:$D$9,0)</x:f>
        <x:v>4</x:v>
      </x:c>
    </x:row>
    <x:row r="8">
      <x:c r="A8" t="str">
        <x:v>A3 — Студенческие проекты</x:v>
      </x:c>
      <x:c r="B8" s="20" t="n">
        <x:f>SQRT(((1-'Нормализация'!I16)^2+(1-'Нормализация'!J16)^2+(1-'Нормализация'!K16)^2)/3)+SQRT(((1-'Нормализация'!I17)^2+(1-'Нормализация'!J17)^2+(1-'Нормализация'!K17)^2)/3)+SQRT(((1-'Нормализация'!I18)^2+(1-'Нормализация'!J18)^2+(1-'Нормализация'!K18)^2)/3)+SQRT(((1-'Нормализация'!I19)^2+(1-'Нормализация'!J19)^2+(1-'Нормализация'!K19)^2)/3)+SQRT(((1-'Нормализация'!I20)^2+(1-'Нормализация'!J20)^2+(1-'Нормализация'!K20)^2)/3)</x:f>
        <x:v>1.7448757864703692</x:v>
      </x:c>
      <x:c r="C8" s="20" t="n">
        <x:f>SQRT((('Нормализация'!I16)^2+('Нормализация'!J16)^2+('Нормализация'!K16)^2)/3)+SQRT((('Нормализация'!I17)^2+('Нормализация'!J17)^2+('Нормализация'!K17)^2)/3)+SQRT((('Нормализация'!I18)^2+('Нормализация'!J18)^2+('Нормализация'!K18)^2)/3)+SQRT((('Нормализация'!I19)^2+('Нормализация'!J19)^2+('Нормализация'!K19)^2)/3)+SQRT((('Нормализация'!I20)^2+('Нормализация'!J20)^2+('Нормализация'!K20)^2)/3)</x:f>
        <x:v>3.3148535359543025</x:v>
      </x:c>
      <x:c r="D8" s="20" t="n">
        <x:f>C8/(B8+C8)</x:f>
        <x:v>0.6551444404867477</x:v>
      </x:c>
      <x:c r="E8" t="n">
        <x:f>RANK(D8,$D$6:$D$9,0)</x:f>
        <x:v>3</x:v>
      </x:c>
    </x:row>
    <x:row r="9">
      <x:c r="A9" t="str">
        <x:v>A4 — Учёт оборудования</x:v>
      </x:c>
      <x:c r="B9" s="20" t="n">
        <x:f>SQRT(((1-'Нормализация'!I21)^2+(1-'Нормализация'!J21)^2+(1-'Нормализация'!K21)^2)/3)+SQRT(((1-'Нормализация'!I22)^2+(1-'Нормализация'!J22)^2+(1-'Нормализация'!K22)^2)/3)+SQRT(((1-'Нормализация'!I23)^2+(1-'Нормализация'!J23)^2+(1-'Нормализация'!K23)^2)/3)+SQRT(((1-'Нормализация'!I24)^2+(1-'Нормализация'!J24)^2+(1-'Нормализация'!K24)^2)/3)+SQRT(((1-'Нормализация'!I25)^2+(1-'Нормализация'!J25)^2+(1-'Нормализация'!K25)^2)/3)</x:f>
        <x:v>1.7220131673955736</x:v>
      </x:c>
      <x:c r="C9" s="20" t="n">
        <x:f>SQRT((('Нормализация'!I21)^2+('Нормализация'!J21)^2+('Нормализация'!K21)^2)/3)+SQRT((('Нормализация'!I22)^2+('Нормализация'!J22)^2+('Нормализация'!K22)^2)/3)+SQRT((('Нормализация'!I23)^2+('Нормализация'!J23)^2+('Нормализация'!K23)^2)/3)+SQRT((('Нормализация'!I24)^2+('Нормализация'!J24)^2+('Нормализация'!K24)^2)/3)+SQRT((('Нормализация'!I25)^2+('Нормализация'!J25)^2+('Нормализация'!K25)^2)/3)</x:f>
        <x:v>3.35621329568975</x:v>
      </x:c>
      <x:c r="D9" s="20" t="n">
        <x:f>C9/(B9+C9)</x:f>
        <x:v>0.6609026438830086</x:v>
      </x:c>
      <x:c r="E9" t="n">
        <x:f>RANK(D9,$D$6:$D$9,0)</x:f>
        <x:v>2</x:v>
      </x:c>
    </x:row>
    <x:row r="12">
      <x:c r="A12" t="str">
        <x:v>Проверка: в исходном отчёте первое место — A1 (округлённый CC = 0,674).</x:v>
      </x:c>
    </x:row>
    <x:row r="14">
      <x:c r="A14" t="str">
        <x:v>Проверять выводы следует по формулам, а не по жёстко введённым итоговым числам.</x:v>
      </x:c>
    </x:row>
  </x:sheetData>
  <x:mergeCells>
    <x:mergeCell ref="A1:H2"/>
    <x:mergeCell ref="A3:H3"/>
  </x:mergeCells>
  <x:pageMargins left="0.7" right="0.7" top="0.75" bottom="0.75" header="0.3" footer="0.3"/>
</x:worksheet>
</file>