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rodemark/Documents/univer/1-semester/autoservice-project-management/phase-1/"/>
    </mc:Choice>
  </mc:AlternateContent>
  <xr:revisionPtr revIDLastSave="0" documentId="13_ncr:1_{FD9E1C70-C8F3-9B40-855A-F6F815578178}" xr6:coauthVersionLast="47" xr6:coauthVersionMax="47" xr10:uidLastSave="{00000000-0000-0000-0000-000000000000}"/>
  <bookViews>
    <workbookView xWindow="0" yWindow="500" windowWidth="28800" windowHeight="16340" activeTab="4" xr2:uid="{00000000-000D-0000-FFFF-FFFF00000000}"/>
  </bookViews>
  <sheets>
    <sheet name="Обзор" sheetId="1" r:id="rId1"/>
    <sheet name="Оценки экспертов" sheetId="2" r:id="rId2"/>
    <sheet name="Веса критериев" sheetId="3" r:id="rId3"/>
    <sheet name="Нормализация" sheetId="4" r:id="rId4"/>
    <sheet name="Итоги TOP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J10" i="3" s="1"/>
  <c r="F10" i="3"/>
  <c r="I10" i="3" s="1"/>
  <c r="E10" i="3"/>
  <c r="H10" i="3" s="1"/>
  <c r="G9" i="3"/>
  <c r="J9" i="3" s="1"/>
  <c r="F9" i="3"/>
  <c r="I9" i="3" s="1"/>
  <c r="E9" i="3"/>
  <c r="H9" i="3" s="1"/>
  <c r="J8" i="3"/>
  <c r="G8" i="3"/>
  <c r="F8" i="3"/>
  <c r="I8" i="3" s="1"/>
  <c r="E8" i="3"/>
  <c r="H8" i="3" s="1"/>
  <c r="J7" i="3"/>
  <c r="H7" i="3"/>
  <c r="G7" i="3"/>
  <c r="F7" i="3"/>
  <c r="I7" i="3" s="1"/>
  <c r="E7" i="3"/>
  <c r="J6" i="3"/>
  <c r="H6" i="3"/>
  <c r="G6" i="3"/>
  <c r="F6" i="3"/>
  <c r="I6" i="3" s="1"/>
  <c r="E6" i="3"/>
  <c r="H25" i="2"/>
  <c r="E25" i="4" s="1"/>
  <c r="F25" i="4" s="1"/>
  <c r="I25" i="4" s="1"/>
  <c r="G25" i="2"/>
  <c r="D25" i="4" s="1"/>
  <c r="G25" i="4" s="1"/>
  <c r="J25" i="4" s="1"/>
  <c r="F25" i="2"/>
  <c r="C25" i="4" s="1"/>
  <c r="H25" i="4" s="1"/>
  <c r="K25" i="4" s="1"/>
  <c r="H24" i="2"/>
  <c r="E24" i="4" s="1"/>
  <c r="H24" i="4" s="1"/>
  <c r="K24" i="4" s="1"/>
  <c r="G24" i="2"/>
  <c r="D24" i="4" s="1"/>
  <c r="G24" i="4" s="1"/>
  <c r="F24" i="2"/>
  <c r="C24" i="4" s="1"/>
  <c r="F24" i="4" s="1"/>
  <c r="H23" i="2"/>
  <c r="E23" i="4" s="1"/>
  <c r="H23" i="4" s="1"/>
  <c r="K23" i="4" s="1"/>
  <c r="G23" i="2"/>
  <c r="D23" i="4" s="1"/>
  <c r="G23" i="4" s="1"/>
  <c r="J23" i="4" s="1"/>
  <c r="F23" i="2"/>
  <c r="C23" i="4" s="1"/>
  <c r="F23" i="4" s="1"/>
  <c r="I23" i="4" s="1"/>
  <c r="H22" i="2"/>
  <c r="E22" i="4" s="1"/>
  <c r="H22" i="4" s="1"/>
  <c r="K22" i="4" s="1"/>
  <c r="G22" i="2"/>
  <c r="D22" i="4" s="1"/>
  <c r="G22" i="4" s="1"/>
  <c r="J22" i="4" s="1"/>
  <c r="F22" i="2"/>
  <c r="C22" i="4" s="1"/>
  <c r="F22" i="4" s="1"/>
  <c r="I22" i="4" s="1"/>
  <c r="H21" i="2"/>
  <c r="E21" i="4" s="1"/>
  <c r="H21" i="4" s="1"/>
  <c r="K21" i="4" s="1"/>
  <c r="G21" i="2"/>
  <c r="D21" i="4" s="1"/>
  <c r="G21" i="4" s="1"/>
  <c r="F21" i="2"/>
  <c r="C21" i="4" s="1"/>
  <c r="F21" i="4" s="1"/>
  <c r="I21" i="4" s="1"/>
  <c r="H20" i="2"/>
  <c r="E20" i="4" s="1"/>
  <c r="F20" i="4" s="1"/>
  <c r="I20" i="4" s="1"/>
  <c r="G20" i="2"/>
  <c r="D20" i="4" s="1"/>
  <c r="G20" i="4" s="1"/>
  <c r="J20" i="4" s="1"/>
  <c r="F20" i="2"/>
  <c r="C20" i="4" s="1"/>
  <c r="H20" i="4" s="1"/>
  <c r="K20" i="4" s="1"/>
  <c r="H19" i="2"/>
  <c r="E19" i="4" s="1"/>
  <c r="H19" i="4" s="1"/>
  <c r="K19" i="4" s="1"/>
  <c r="G19" i="2"/>
  <c r="D19" i="4" s="1"/>
  <c r="G19" i="4" s="1"/>
  <c r="J19" i="4" s="1"/>
  <c r="F19" i="2"/>
  <c r="C19" i="4" s="1"/>
  <c r="F19" i="4" s="1"/>
  <c r="H18" i="2"/>
  <c r="E18" i="4" s="1"/>
  <c r="H18" i="4" s="1"/>
  <c r="K18" i="4" s="1"/>
  <c r="G18" i="2"/>
  <c r="D18" i="4" s="1"/>
  <c r="G18" i="4" s="1"/>
  <c r="J18" i="4" s="1"/>
  <c r="F18" i="2"/>
  <c r="C18" i="4" s="1"/>
  <c r="F18" i="4" s="1"/>
  <c r="I18" i="4" s="1"/>
  <c r="H17" i="2"/>
  <c r="E17" i="4" s="1"/>
  <c r="H17" i="4" s="1"/>
  <c r="K17" i="4" s="1"/>
  <c r="G17" i="2"/>
  <c r="D17" i="4" s="1"/>
  <c r="G17" i="4" s="1"/>
  <c r="J17" i="4" s="1"/>
  <c r="F17" i="2"/>
  <c r="C17" i="4" s="1"/>
  <c r="F17" i="4" s="1"/>
  <c r="I17" i="4" s="1"/>
  <c r="H16" i="2"/>
  <c r="E16" i="4" s="1"/>
  <c r="H16" i="4" s="1"/>
  <c r="K16" i="4" s="1"/>
  <c r="G16" i="2"/>
  <c r="D16" i="4" s="1"/>
  <c r="G16" i="4" s="1"/>
  <c r="F16" i="2"/>
  <c r="C16" i="4" s="1"/>
  <c r="F16" i="4" s="1"/>
  <c r="I16" i="4" s="1"/>
  <c r="H15" i="2"/>
  <c r="E15" i="4" s="1"/>
  <c r="F15" i="4" s="1"/>
  <c r="I15" i="4" s="1"/>
  <c r="G15" i="2"/>
  <c r="D15" i="4" s="1"/>
  <c r="G15" i="4" s="1"/>
  <c r="J15" i="4" s="1"/>
  <c r="F15" i="2"/>
  <c r="C15" i="4" s="1"/>
  <c r="H15" i="4" s="1"/>
  <c r="K15" i="4" s="1"/>
  <c r="H14" i="2"/>
  <c r="E14" i="4" s="1"/>
  <c r="H14" i="4" s="1"/>
  <c r="K14" i="4" s="1"/>
  <c r="G14" i="2"/>
  <c r="D14" i="4" s="1"/>
  <c r="G14" i="4" s="1"/>
  <c r="J14" i="4" s="1"/>
  <c r="F14" i="2"/>
  <c r="C14" i="4" s="1"/>
  <c r="F14" i="4" s="1"/>
  <c r="I14" i="4" s="1"/>
  <c r="H13" i="2"/>
  <c r="E13" i="4" s="1"/>
  <c r="H13" i="4" s="1"/>
  <c r="K13" i="4" s="1"/>
  <c r="G13" i="2"/>
  <c r="D13" i="4" s="1"/>
  <c r="G13" i="4" s="1"/>
  <c r="J13" i="4" s="1"/>
  <c r="F13" i="2"/>
  <c r="C13" i="4" s="1"/>
  <c r="F13" i="4" s="1"/>
  <c r="I13" i="4" s="1"/>
  <c r="H12" i="2"/>
  <c r="E12" i="4" s="1"/>
  <c r="H12" i="4" s="1"/>
  <c r="K12" i="4" s="1"/>
  <c r="G12" i="2"/>
  <c r="D12" i="4" s="1"/>
  <c r="G12" i="4" s="1"/>
  <c r="F12" i="2"/>
  <c r="C12" i="4" s="1"/>
  <c r="F12" i="4" s="1"/>
  <c r="I12" i="4" s="1"/>
  <c r="H11" i="2"/>
  <c r="E11" i="4" s="1"/>
  <c r="H11" i="4" s="1"/>
  <c r="K11" i="4" s="1"/>
  <c r="G11" i="2"/>
  <c r="D11" i="4" s="1"/>
  <c r="G11" i="4" s="1"/>
  <c r="J11" i="4" s="1"/>
  <c r="F11" i="2"/>
  <c r="C11" i="4" s="1"/>
  <c r="F11" i="4" s="1"/>
  <c r="I11" i="4" s="1"/>
  <c r="H10" i="2"/>
  <c r="E10" i="4" s="1"/>
  <c r="F10" i="4" s="1"/>
  <c r="G10" i="2"/>
  <c r="D10" i="4" s="1"/>
  <c r="G10" i="4" s="1"/>
  <c r="J10" i="4" s="1"/>
  <c r="F10" i="2"/>
  <c r="C10" i="4" s="1"/>
  <c r="H10" i="4" s="1"/>
  <c r="K10" i="4" s="1"/>
  <c r="H9" i="2"/>
  <c r="E9" i="4" s="1"/>
  <c r="H9" i="4" s="1"/>
  <c r="K9" i="4" s="1"/>
  <c r="G9" i="2"/>
  <c r="D9" i="4" s="1"/>
  <c r="G9" i="4" s="1"/>
  <c r="J9" i="4" s="1"/>
  <c r="F9" i="2"/>
  <c r="C9" i="4" s="1"/>
  <c r="F9" i="4" s="1"/>
  <c r="I9" i="4" s="1"/>
  <c r="H8" i="2"/>
  <c r="E8" i="4" s="1"/>
  <c r="H8" i="4" s="1"/>
  <c r="K8" i="4" s="1"/>
  <c r="G8" i="2"/>
  <c r="D8" i="4" s="1"/>
  <c r="G8" i="4" s="1"/>
  <c r="J8" i="4" s="1"/>
  <c r="F8" i="2"/>
  <c r="C8" i="4" s="1"/>
  <c r="F8" i="4" s="1"/>
  <c r="I8" i="4" s="1"/>
  <c r="H7" i="2"/>
  <c r="E7" i="4" s="1"/>
  <c r="H7" i="4" s="1"/>
  <c r="K7" i="4" s="1"/>
  <c r="G7" i="2"/>
  <c r="D7" i="4" s="1"/>
  <c r="G7" i="4" s="1"/>
  <c r="F7" i="2"/>
  <c r="C7" i="4" s="1"/>
  <c r="F7" i="4" s="1"/>
  <c r="I7" i="4" s="1"/>
  <c r="H6" i="2"/>
  <c r="E6" i="4" s="1"/>
  <c r="H6" i="4" s="1"/>
  <c r="K6" i="4" s="1"/>
  <c r="G6" i="2"/>
  <c r="D6" i="4" s="1"/>
  <c r="G6" i="4" s="1"/>
  <c r="J6" i="4" s="1"/>
  <c r="F6" i="2"/>
  <c r="C6" i="4" s="1"/>
  <c r="F6" i="4" s="1"/>
  <c r="I6" i="4" s="1"/>
  <c r="J7" i="4" l="1"/>
  <c r="C6" i="5" s="1"/>
  <c r="J12" i="4"/>
  <c r="B7" i="5" s="1"/>
  <c r="I10" i="4"/>
  <c r="C8" i="5"/>
  <c r="J21" i="4"/>
  <c r="I24" i="4"/>
  <c r="J16" i="4"/>
  <c r="B8" i="5" s="1"/>
  <c r="I19" i="4"/>
  <c r="J24" i="4"/>
  <c r="C9" i="5" s="1"/>
  <c r="B9" i="5" l="1"/>
  <c r="D9" i="5" s="1"/>
  <c r="C7" i="5"/>
  <c r="D7" i="5" s="1"/>
  <c r="B6" i="5"/>
  <c r="D6" i="5" s="1"/>
  <c r="E6" i="5" s="1"/>
  <c r="D8" i="5"/>
  <c r="E9" i="5" l="1"/>
  <c r="E8" i="5"/>
  <c r="E7" i="5"/>
</calcChain>
</file>

<file path=xl/sharedStrings.xml><?xml version="1.0" encoding="utf-8"?>
<sst xmlns="http://schemas.openxmlformats.org/spreadsheetml/2006/main" count="164" uniqueCount="65">
  <si>
    <t>TOPSIS | Выбор концепции</t>
  </si>
  <si>
    <t>Фаза 1 · Роде · Солопанов · Пухов</t>
  </si>
  <si>
    <t>АЛЬТЕРНАТИВЫ</t>
  </si>
  <si>
    <t>Код</t>
  </si>
  <si>
    <t>Концепция</t>
  </si>
  <si>
    <t>A1</t>
  </si>
  <si>
    <t>A1 — ИС автосервиса</t>
  </si>
  <si>
    <t>A2</t>
  </si>
  <si>
    <t>A2 — Бронирование переговорных</t>
  </si>
  <si>
    <t>A3</t>
  </si>
  <si>
    <t>A3 — Студенческие проекты</t>
  </si>
  <si>
    <t>A4</t>
  </si>
  <si>
    <t>A4 — Учёт оборудования</t>
  </si>
  <si>
    <t>КРИТЕРИИ</t>
  </si>
  <si>
    <t>Критерий</t>
  </si>
  <si>
    <t>Тип</t>
  </si>
  <si>
    <t>C1</t>
  </si>
  <si>
    <t>Простота реализации</t>
  </si>
  <si>
    <t>Максимизация</t>
  </si>
  <si>
    <t>C2</t>
  </si>
  <si>
    <t>Практическая полезность</t>
  </si>
  <si>
    <t>C3</t>
  </si>
  <si>
    <t>Возможность декомпозиции</t>
  </si>
  <si>
    <t>C4</t>
  </si>
  <si>
    <t>Возможность развития</t>
  </si>
  <si>
    <t>C5</t>
  </si>
  <si>
    <t>Трудоёмкость</t>
  </si>
  <si>
    <t>Минимизация</t>
  </si>
  <si>
    <t>Экспертные оценки · TOPSIS</t>
  </si>
  <si>
    <t>Экспертные оценки команды по шкале 1–10</t>
  </si>
  <si>
    <t>Роде</t>
  </si>
  <si>
    <t>Солопанов</t>
  </si>
  <si>
    <t>Пухов</t>
  </si>
  <si>
    <t>l (мин)</t>
  </si>
  <si>
    <t>m (медиана)</t>
  </si>
  <si>
    <t>u (макс)</t>
  </si>
  <si>
    <t>C1 — Простота реализации</t>
  </si>
  <si>
    <t>C2 — Практическая полезность</t>
  </si>
  <si>
    <t>C3 — Возможность декомпозиции</t>
  </si>
  <si>
    <t>C4 — Возможность развития</t>
  </si>
  <si>
    <t>C5 — Трудоёмкость</t>
  </si>
  <si>
    <t>Важность критериев</t>
  </si>
  <si>
    <t>Треугольные оценки и приведение к диапазону 0–1</t>
  </si>
  <si>
    <t>l</t>
  </si>
  <si>
    <t>m</t>
  </si>
  <si>
    <t>u</t>
  </si>
  <si>
    <t>w_l</t>
  </si>
  <si>
    <t>w_m</t>
  </si>
  <si>
    <t>w_u</t>
  </si>
  <si>
    <t>Взвешенная матрица</t>
  </si>
  <si>
    <t>Нормализация выгоды и затрат; каждая строка — альтернатива × критерий</t>
  </si>
  <si>
    <t>Альтернатива</t>
  </si>
  <si>
    <t>Норма l</t>
  </si>
  <si>
    <t>Норма m</t>
  </si>
  <si>
    <t>Норма u</t>
  </si>
  <si>
    <t>Вес l</t>
  </si>
  <si>
    <t>Вес m</t>
  </si>
  <si>
    <t>Вес u</t>
  </si>
  <si>
    <t>Результат TOPSIS</t>
  </si>
  <si>
    <t>Расстояния до идеальных решений (1,1,1) и (0,0,0)</t>
  </si>
  <si>
    <t>D+</t>
  </si>
  <si>
    <t>D−</t>
  </si>
  <si>
    <t>CC</t>
  </si>
  <si>
    <t>Место</t>
  </si>
  <si>
    <t>Проверка: в исходном отчёте первое место — A1 (округлённый CC = 0,674).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</si>
</sst>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117C83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263D"/>
      </patternFill>
    </fill>
    <fill>
      <patternFill patternType="solid">
        <fgColor rgb="FFE8F5F4"/>
      </patternFill>
    </fill>
    <fill>
      <patternFill patternType="solid">
        <fgColor rgb="FF117C8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4" borderId="0" xfId="1" applyFont="1" applyFill="1" applyAlignment="1">
      <alignment wrapText="1"/>
    </xf>
    <xf numFmtId="164" fontId="0" fillId="0" borderId="0" xfId="1" applyNumberFormat="1" applyFont="1"/>
    <xf numFmtId="0" fontId="1" fillId="2" borderId="0" xfId="1" applyFont="1" applyFill="1" applyAlignment="1">
      <alignment vertical="center"/>
    </xf>
    <xf numFmtId="0" fontId="2" fillId="3" borderId="0" xfId="1" applyFont="1" applyFill="1"/>
    <xf numFmtId="0" fontId="3" fillId="2" borderId="0" xfId="1" applyFont="1" applyFill="1"/>
    <xf numFmtId="0" fontId="3" fillId="0" borderId="0" xfId="1" applyFont="1" applyFill="1"/>
    <xf numFmtId="0" fontId="0" fillId="0" borderId="0" xfId="0" applyFill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pane ySplit="6" topLeftCell="A7" activePane="bottomLeft" state="frozen"/>
      <selection pane="bottomLeft" activeCell="A20" sqref="A20:H20"/>
    </sheetView>
  </sheetViews>
  <sheetFormatPr baseColWidth="10" defaultColWidth="8.83203125" defaultRowHeight="15"/>
  <cols>
    <col min="1" max="1" width="34" customWidth="1"/>
    <col min="2" max="2" width="39" customWidth="1"/>
    <col min="3" max="8" width="19" customWidth="1"/>
  </cols>
  <sheetData>
    <row r="1" spans="1:8" ht="25" customHeight="1">
      <c r="A1" s="3" t="s">
        <v>0</v>
      </c>
      <c r="B1" s="3"/>
      <c r="C1" s="3"/>
      <c r="D1" s="3"/>
      <c r="E1" s="3"/>
      <c r="F1" s="3"/>
      <c r="G1" s="3"/>
      <c r="H1" s="3"/>
    </row>
    <row r="2" spans="1:8" ht="25" customHeight="1">
      <c r="A2" s="3"/>
      <c r="B2" s="3"/>
      <c r="C2" s="3"/>
      <c r="D2" s="3"/>
      <c r="E2" s="3"/>
      <c r="F2" s="3"/>
      <c r="G2" s="3"/>
      <c r="H2" s="3"/>
    </row>
    <row r="3" spans="1:8" ht="26" customHeight="1">
      <c r="A3" s="4" t="s">
        <v>1</v>
      </c>
      <c r="B3" s="4"/>
      <c r="C3" s="4"/>
      <c r="D3" s="4"/>
      <c r="E3" s="4"/>
      <c r="F3" s="4"/>
      <c r="G3" s="4"/>
      <c r="H3" s="4"/>
    </row>
    <row r="5" spans="1:8" ht="26" customHeight="1">
      <c r="A5" s="5" t="s">
        <v>2</v>
      </c>
      <c r="B5" s="5"/>
      <c r="C5" s="5"/>
      <c r="D5" s="5"/>
      <c r="E5" s="5"/>
      <c r="F5" s="5"/>
      <c r="G5" s="5"/>
      <c r="H5" s="5"/>
    </row>
    <row r="6" spans="1:8" ht="29" customHeight="1">
      <c r="A6" s="1" t="s">
        <v>3</v>
      </c>
      <c r="B6" s="1" t="s">
        <v>4</v>
      </c>
    </row>
    <row r="7" spans="1:8">
      <c r="A7" t="s">
        <v>5</v>
      </c>
      <c r="B7" t="s">
        <v>6</v>
      </c>
    </row>
    <row r="8" spans="1:8">
      <c r="A8" t="s">
        <v>7</v>
      </c>
      <c r="B8" t="s">
        <v>8</v>
      </c>
    </row>
    <row r="9" spans="1:8">
      <c r="A9" t="s">
        <v>9</v>
      </c>
      <c r="B9" t="s">
        <v>10</v>
      </c>
    </row>
    <row r="10" spans="1:8">
      <c r="A10" t="s">
        <v>11</v>
      </c>
      <c r="B10" t="s">
        <v>12</v>
      </c>
    </row>
    <row r="12" spans="1:8" ht="26" customHeight="1">
      <c r="A12" s="5" t="s">
        <v>13</v>
      </c>
      <c r="B12" s="5"/>
      <c r="C12" s="5"/>
      <c r="D12" s="5"/>
      <c r="E12" s="5"/>
      <c r="F12" s="5"/>
      <c r="G12" s="5"/>
      <c r="H12" s="5"/>
    </row>
    <row r="13" spans="1:8" ht="29" customHeight="1">
      <c r="A13" s="1" t="s">
        <v>3</v>
      </c>
      <c r="B13" s="1" t="s">
        <v>14</v>
      </c>
      <c r="C13" s="1" t="s">
        <v>15</v>
      </c>
    </row>
    <row r="14" spans="1:8">
      <c r="A14" t="s">
        <v>16</v>
      </c>
      <c r="B14" t="s">
        <v>17</v>
      </c>
      <c r="C14" t="s">
        <v>18</v>
      </c>
    </row>
    <row r="15" spans="1:8">
      <c r="A15" t="s">
        <v>19</v>
      </c>
      <c r="B15" t="s">
        <v>20</v>
      </c>
      <c r="C15" t="s">
        <v>18</v>
      </c>
    </row>
    <row r="16" spans="1:8">
      <c r="A16" t="s">
        <v>21</v>
      </c>
      <c r="B16" t="s">
        <v>22</v>
      </c>
      <c r="C16" t="s">
        <v>18</v>
      </c>
    </row>
    <row r="17" spans="1:8">
      <c r="A17" t="s">
        <v>23</v>
      </c>
      <c r="B17" t="s">
        <v>24</v>
      </c>
      <c r="C17" t="s">
        <v>18</v>
      </c>
    </row>
    <row r="18" spans="1:8">
      <c r="A18" t="s">
        <v>25</v>
      </c>
      <c r="B18" t="s">
        <v>26</v>
      </c>
      <c r="C18" t="s">
        <v>27</v>
      </c>
    </row>
    <row r="20" spans="1:8" ht="26" customHeight="1">
      <c r="A20" s="6"/>
      <c r="B20" s="6"/>
      <c r="C20" s="6"/>
      <c r="D20" s="6"/>
      <c r="E20" s="6"/>
      <c r="F20" s="6"/>
      <c r="G20" s="6"/>
      <c r="H20" s="6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</sheetData>
  <mergeCells count="5">
    <mergeCell ref="A1:H2"/>
    <mergeCell ref="A3:H3"/>
    <mergeCell ref="A5:H5"/>
    <mergeCell ref="A12:H12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pane ySplit="6" topLeftCell="A20" activePane="bottomLeft" state="frozen"/>
      <selection pane="bottomLeft" sqref="A1:H2"/>
    </sheetView>
  </sheetViews>
  <sheetFormatPr baseColWidth="10" defaultColWidth="8.83203125" defaultRowHeight="15"/>
  <cols>
    <col min="1" max="1" width="34" customWidth="1"/>
    <col min="2" max="2" width="36" customWidth="1"/>
    <col min="3" max="8" width="19" customWidth="1"/>
  </cols>
  <sheetData>
    <row r="1" spans="1:8" ht="25" customHeight="1">
      <c r="A1" s="3" t="s">
        <v>28</v>
      </c>
      <c r="B1" s="3"/>
      <c r="C1" s="3"/>
      <c r="D1" s="3"/>
      <c r="E1" s="3"/>
      <c r="F1" s="3"/>
      <c r="G1" s="3"/>
      <c r="H1" s="3"/>
    </row>
    <row r="2" spans="1:8" ht="25" customHeight="1">
      <c r="A2" s="3"/>
      <c r="B2" s="3"/>
      <c r="C2" s="3"/>
      <c r="D2" s="3"/>
      <c r="E2" s="3"/>
      <c r="F2" s="3"/>
      <c r="G2" s="3"/>
      <c r="H2" s="3"/>
    </row>
    <row r="3" spans="1:8" ht="26" customHeight="1">
      <c r="A3" s="4" t="s">
        <v>29</v>
      </c>
      <c r="B3" s="4"/>
      <c r="C3" s="4"/>
      <c r="D3" s="4"/>
      <c r="E3" s="4"/>
      <c r="F3" s="4"/>
      <c r="G3" s="4"/>
      <c r="H3" s="4"/>
    </row>
    <row r="5" spans="1:8" ht="29" customHeight="1">
      <c r="A5" s="1" t="s">
        <v>4</v>
      </c>
      <c r="B5" s="1" t="s">
        <v>14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8" ht="21" customHeight="1">
      <c r="A6" t="s">
        <v>6</v>
      </c>
      <c r="B6" t="s">
        <v>36</v>
      </c>
      <c r="C6">
        <v>8</v>
      </c>
      <c r="D6">
        <v>7</v>
      </c>
      <c r="E6">
        <v>8</v>
      </c>
      <c r="F6">
        <f t="shared" ref="F6:F25" si="0">MIN(C6:E6)</f>
        <v>7</v>
      </c>
      <c r="G6">
        <f t="shared" ref="G6:G25" si="1">MEDIAN(C6:E6)</f>
        <v>8</v>
      </c>
      <c r="H6">
        <f t="shared" ref="H6:H25" si="2">MAX(C6:E6)</f>
        <v>8</v>
      </c>
    </row>
    <row r="7" spans="1:8" ht="21" customHeight="1">
      <c r="A7" t="s">
        <v>6</v>
      </c>
      <c r="B7" t="s">
        <v>37</v>
      </c>
      <c r="C7">
        <v>9</v>
      </c>
      <c r="D7">
        <v>9</v>
      </c>
      <c r="E7">
        <v>10</v>
      </c>
      <c r="F7">
        <f t="shared" si="0"/>
        <v>9</v>
      </c>
      <c r="G7">
        <f t="shared" si="1"/>
        <v>9</v>
      </c>
      <c r="H7">
        <f t="shared" si="2"/>
        <v>10</v>
      </c>
    </row>
    <row r="8" spans="1:8" ht="21" customHeight="1">
      <c r="A8" t="s">
        <v>6</v>
      </c>
      <c r="B8" t="s">
        <v>38</v>
      </c>
      <c r="C8">
        <v>9</v>
      </c>
      <c r="D8">
        <v>8</v>
      </c>
      <c r="E8">
        <v>9</v>
      </c>
      <c r="F8">
        <f t="shared" si="0"/>
        <v>8</v>
      </c>
      <c r="G8">
        <f t="shared" si="1"/>
        <v>9</v>
      </c>
      <c r="H8">
        <f t="shared" si="2"/>
        <v>9</v>
      </c>
    </row>
    <row r="9" spans="1:8" ht="21" customHeight="1">
      <c r="A9" t="s">
        <v>6</v>
      </c>
      <c r="B9" t="s">
        <v>39</v>
      </c>
      <c r="C9">
        <v>10</v>
      </c>
      <c r="D9">
        <v>9</v>
      </c>
      <c r="E9">
        <v>9</v>
      </c>
      <c r="F9">
        <f t="shared" si="0"/>
        <v>9</v>
      </c>
      <c r="G9">
        <f t="shared" si="1"/>
        <v>9</v>
      </c>
      <c r="H9">
        <f t="shared" si="2"/>
        <v>10</v>
      </c>
    </row>
    <row r="10" spans="1:8" ht="21" customHeight="1">
      <c r="A10" t="s">
        <v>6</v>
      </c>
      <c r="B10" t="s">
        <v>40</v>
      </c>
      <c r="C10">
        <v>7</v>
      </c>
      <c r="D10">
        <v>7</v>
      </c>
      <c r="E10">
        <v>8</v>
      </c>
      <c r="F10">
        <f t="shared" si="0"/>
        <v>7</v>
      </c>
      <c r="G10">
        <f t="shared" si="1"/>
        <v>7</v>
      </c>
      <c r="H10">
        <f t="shared" si="2"/>
        <v>8</v>
      </c>
    </row>
    <row r="11" spans="1:8" ht="21" customHeight="1">
      <c r="A11" t="s">
        <v>8</v>
      </c>
      <c r="B11" t="s">
        <v>36</v>
      </c>
      <c r="C11">
        <v>9</v>
      </c>
      <c r="D11">
        <v>9</v>
      </c>
      <c r="E11">
        <v>8</v>
      </c>
      <c r="F11">
        <f t="shared" si="0"/>
        <v>8</v>
      </c>
      <c r="G11">
        <f t="shared" si="1"/>
        <v>9</v>
      </c>
      <c r="H11">
        <f t="shared" si="2"/>
        <v>9</v>
      </c>
    </row>
    <row r="12" spans="1:8" ht="21" customHeight="1">
      <c r="A12" t="s">
        <v>8</v>
      </c>
      <c r="B12" t="s">
        <v>37</v>
      </c>
      <c r="C12">
        <v>7</v>
      </c>
      <c r="D12">
        <v>8</v>
      </c>
      <c r="E12">
        <v>7</v>
      </c>
      <c r="F12">
        <f t="shared" si="0"/>
        <v>7</v>
      </c>
      <c r="G12">
        <f t="shared" si="1"/>
        <v>7</v>
      </c>
      <c r="H12">
        <f t="shared" si="2"/>
        <v>8</v>
      </c>
    </row>
    <row r="13" spans="1:8" ht="21" customHeight="1">
      <c r="A13" t="s">
        <v>8</v>
      </c>
      <c r="B13" t="s">
        <v>38</v>
      </c>
      <c r="C13">
        <v>7</v>
      </c>
      <c r="D13">
        <v>7</v>
      </c>
      <c r="E13">
        <v>8</v>
      </c>
      <c r="F13">
        <f t="shared" si="0"/>
        <v>7</v>
      </c>
      <c r="G13">
        <f t="shared" si="1"/>
        <v>7</v>
      </c>
      <c r="H13">
        <f t="shared" si="2"/>
        <v>8</v>
      </c>
    </row>
    <row r="14" spans="1:8" ht="21" customHeight="1">
      <c r="A14" t="s">
        <v>8</v>
      </c>
      <c r="B14" t="s">
        <v>39</v>
      </c>
      <c r="C14">
        <v>7</v>
      </c>
      <c r="D14">
        <v>8</v>
      </c>
      <c r="E14">
        <v>7</v>
      </c>
      <c r="F14">
        <f t="shared" si="0"/>
        <v>7</v>
      </c>
      <c r="G14">
        <f t="shared" si="1"/>
        <v>7</v>
      </c>
      <c r="H14">
        <f t="shared" si="2"/>
        <v>8</v>
      </c>
    </row>
    <row r="15" spans="1:8" ht="21" customHeight="1">
      <c r="A15" t="s">
        <v>8</v>
      </c>
      <c r="B15" t="s">
        <v>40</v>
      </c>
      <c r="C15">
        <v>4</v>
      </c>
      <c r="D15">
        <v>5</v>
      </c>
      <c r="E15">
        <v>5</v>
      </c>
      <c r="F15">
        <f t="shared" si="0"/>
        <v>4</v>
      </c>
      <c r="G15">
        <f t="shared" si="1"/>
        <v>5</v>
      </c>
      <c r="H15">
        <f t="shared" si="2"/>
        <v>5</v>
      </c>
    </row>
    <row r="16" spans="1:8" ht="21" customHeight="1">
      <c r="A16" t="s">
        <v>10</v>
      </c>
      <c r="B16" t="s">
        <v>36</v>
      </c>
      <c r="C16">
        <v>7</v>
      </c>
      <c r="D16">
        <v>8</v>
      </c>
      <c r="E16">
        <v>7</v>
      </c>
      <c r="F16">
        <f t="shared" si="0"/>
        <v>7</v>
      </c>
      <c r="G16">
        <f t="shared" si="1"/>
        <v>7</v>
      </c>
      <c r="H16">
        <f t="shared" si="2"/>
        <v>8</v>
      </c>
    </row>
    <row r="17" spans="1:8" ht="21" customHeight="1">
      <c r="A17" t="s">
        <v>10</v>
      </c>
      <c r="B17" t="s">
        <v>37</v>
      </c>
      <c r="C17">
        <v>8</v>
      </c>
      <c r="D17">
        <v>8</v>
      </c>
      <c r="E17">
        <v>9</v>
      </c>
      <c r="F17">
        <f t="shared" si="0"/>
        <v>8</v>
      </c>
      <c r="G17">
        <f t="shared" si="1"/>
        <v>8</v>
      </c>
      <c r="H17">
        <f t="shared" si="2"/>
        <v>9</v>
      </c>
    </row>
    <row r="18" spans="1:8" ht="21" customHeight="1">
      <c r="A18" t="s">
        <v>10</v>
      </c>
      <c r="B18" t="s">
        <v>38</v>
      </c>
      <c r="C18">
        <v>9</v>
      </c>
      <c r="D18">
        <v>9</v>
      </c>
      <c r="E18">
        <v>8</v>
      </c>
      <c r="F18">
        <f t="shared" si="0"/>
        <v>8</v>
      </c>
      <c r="G18">
        <f t="shared" si="1"/>
        <v>9</v>
      </c>
      <c r="H18">
        <f t="shared" si="2"/>
        <v>9</v>
      </c>
    </row>
    <row r="19" spans="1:8" ht="21" customHeight="1">
      <c r="A19" t="s">
        <v>10</v>
      </c>
      <c r="B19" t="s">
        <v>39</v>
      </c>
      <c r="C19">
        <v>9</v>
      </c>
      <c r="D19">
        <v>9</v>
      </c>
      <c r="E19">
        <v>9</v>
      </c>
      <c r="F19">
        <f t="shared" si="0"/>
        <v>9</v>
      </c>
      <c r="G19">
        <f t="shared" si="1"/>
        <v>9</v>
      </c>
      <c r="H19">
        <f t="shared" si="2"/>
        <v>9</v>
      </c>
    </row>
    <row r="20" spans="1:8" ht="21" customHeight="1">
      <c r="A20" t="s">
        <v>10</v>
      </c>
      <c r="B20" t="s">
        <v>40</v>
      </c>
      <c r="C20">
        <v>7</v>
      </c>
      <c r="D20">
        <v>6</v>
      </c>
      <c r="E20">
        <v>7</v>
      </c>
      <c r="F20">
        <f t="shared" si="0"/>
        <v>6</v>
      </c>
      <c r="G20">
        <f t="shared" si="1"/>
        <v>7</v>
      </c>
      <c r="H20">
        <f t="shared" si="2"/>
        <v>7</v>
      </c>
    </row>
    <row r="21" spans="1:8" ht="21" customHeight="1">
      <c r="A21" t="s">
        <v>12</v>
      </c>
      <c r="B21" t="s">
        <v>36</v>
      </c>
      <c r="C21">
        <v>8</v>
      </c>
      <c r="D21">
        <v>8</v>
      </c>
      <c r="E21">
        <v>7</v>
      </c>
      <c r="F21">
        <f t="shared" si="0"/>
        <v>7</v>
      </c>
      <c r="G21">
        <f t="shared" si="1"/>
        <v>8</v>
      </c>
      <c r="H21">
        <f t="shared" si="2"/>
        <v>8</v>
      </c>
    </row>
    <row r="22" spans="1:8" ht="21" customHeight="1">
      <c r="A22" t="s">
        <v>12</v>
      </c>
      <c r="B22" t="s">
        <v>37</v>
      </c>
      <c r="C22">
        <v>9</v>
      </c>
      <c r="D22">
        <v>8</v>
      </c>
      <c r="E22">
        <v>9</v>
      </c>
      <c r="F22">
        <f t="shared" si="0"/>
        <v>8</v>
      </c>
      <c r="G22">
        <f t="shared" si="1"/>
        <v>9</v>
      </c>
      <c r="H22">
        <f t="shared" si="2"/>
        <v>9</v>
      </c>
    </row>
    <row r="23" spans="1:8" ht="21" customHeight="1">
      <c r="A23" t="s">
        <v>12</v>
      </c>
      <c r="B23" t="s">
        <v>38</v>
      </c>
      <c r="C23">
        <v>8</v>
      </c>
      <c r="D23">
        <v>8</v>
      </c>
      <c r="E23">
        <v>9</v>
      </c>
      <c r="F23">
        <f t="shared" si="0"/>
        <v>8</v>
      </c>
      <c r="G23">
        <f t="shared" si="1"/>
        <v>8</v>
      </c>
      <c r="H23">
        <f t="shared" si="2"/>
        <v>9</v>
      </c>
    </row>
    <row r="24" spans="1:8" ht="21" customHeight="1">
      <c r="A24" t="s">
        <v>12</v>
      </c>
      <c r="B24" t="s">
        <v>39</v>
      </c>
      <c r="C24">
        <v>8</v>
      </c>
      <c r="D24">
        <v>9</v>
      </c>
      <c r="E24">
        <v>9</v>
      </c>
      <c r="F24">
        <f t="shared" si="0"/>
        <v>8</v>
      </c>
      <c r="G24">
        <f t="shared" si="1"/>
        <v>9</v>
      </c>
      <c r="H24">
        <f t="shared" si="2"/>
        <v>9</v>
      </c>
    </row>
    <row r="25" spans="1:8" ht="21" customHeight="1">
      <c r="A25" t="s">
        <v>12</v>
      </c>
      <c r="B25" t="s">
        <v>40</v>
      </c>
      <c r="C25">
        <v>6</v>
      </c>
      <c r="D25">
        <v>6</v>
      </c>
      <c r="E25">
        <v>7</v>
      </c>
      <c r="F25">
        <f t="shared" si="0"/>
        <v>6</v>
      </c>
      <c r="G25">
        <f t="shared" si="1"/>
        <v>6</v>
      </c>
      <c r="H25">
        <f t="shared" si="2"/>
        <v>7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pane ySplit="6" topLeftCell="A7" activePane="bottomLeft" state="frozen"/>
      <selection pane="bottomLeft" activeCell="J6" sqref="J6"/>
    </sheetView>
  </sheetViews>
  <sheetFormatPr baseColWidth="10" defaultColWidth="8.83203125" defaultRowHeight="15"/>
  <cols>
    <col min="1" max="1" width="39" customWidth="1"/>
    <col min="2" max="8" width="19" customWidth="1"/>
  </cols>
  <sheetData>
    <row r="1" spans="1:10" ht="25" customHeight="1">
      <c r="A1" s="3" t="s">
        <v>41</v>
      </c>
      <c r="B1" s="3"/>
      <c r="C1" s="3"/>
      <c r="D1" s="3"/>
      <c r="E1" s="3"/>
      <c r="F1" s="3"/>
      <c r="G1" s="3"/>
      <c r="H1" s="3"/>
    </row>
    <row r="2" spans="1:10" ht="25" customHeight="1">
      <c r="A2" s="3"/>
      <c r="B2" s="3"/>
      <c r="C2" s="3"/>
      <c r="D2" s="3"/>
      <c r="E2" s="3"/>
      <c r="F2" s="3"/>
      <c r="G2" s="3"/>
      <c r="H2" s="3"/>
    </row>
    <row r="3" spans="1:10" ht="26" customHeight="1">
      <c r="A3" s="4" t="s">
        <v>42</v>
      </c>
      <c r="B3" s="4"/>
      <c r="C3" s="4"/>
      <c r="D3" s="4"/>
      <c r="E3" s="4"/>
      <c r="F3" s="4"/>
      <c r="G3" s="4"/>
      <c r="H3" s="4"/>
    </row>
    <row r="5" spans="1:10" ht="29" customHeight="1">
      <c r="A5" s="1" t="s">
        <v>14</v>
      </c>
      <c r="B5" s="1" t="s">
        <v>30</v>
      </c>
      <c r="C5" s="1" t="s">
        <v>31</v>
      </c>
      <c r="D5" s="1" t="s">
        <v>32</v>
      </c>
      <c r="E5" s="1" t="s">
        <v>43</v>
      </c>
      <c r="F5" s="1" t="s">
        <v>44</v>
      </c>
      <c r="G5" s="1" t="s">
        <v>45</v>
      </c>
      <c r="H5" s="1" t="s">
        <v>46</v>
      </c>
      <c r="I5" t="s">
        <v>47</v>
      </c>
      <c r="J5" t="s">
        <v>48</v>
      </c>
    </row>
    <row r="6" spans="1:10">
      <c r="A6" t="s">
        <v>36</v>
      </c>
      <c r="B6">
        <v>9</v>
      </c>
      <c r="C6">
        <v>8</v>
      </c>
      <c r="D6">
        <v>8</v>
      </c>
      <c r="E6">
        <f>MIN(B6:D6)</f>
        <v>8</v>
      </c>
      <c r="F6">
        <f>MEDIAN(B6:D6)</f>
        <v>8</v>
      </c>
      <c r="G6">
        <f>MAX(B6:D6)</f>
        <v>9</v>
      </c>
      <c r="H6">
        <f t="shared" ref="H6:J10" si="0">E6/10</f>
        <v>0.8</v>
      </c>
      <c r="I6">
        <f t="shared" si="0"/>
        <v>0.8</v>
      </c>
      <c r="J6">
        <f t="shared" si="0"/>
        <v>0.9</v>
      </c>
    </row>
    <row r="7" spans="1:10">
      <c r="A7" t="s">
        <v>37</v>
      </c>
      <c r="B7">
        <v>8</v>
      </c>
      <c r="C7">
        <v>9</v>
      </c>
      <c r="D7">
        <v>9</v>
      </c>
      <c r="E7">
        <f>MIN(B7:D7)</f>
        <v>8</v>
      </c>
      <c r="F7">
        <f>MEDIAN(B7:D7)</f>
        <v>9</v>
      </c>
      <c r="G7">
        <f>MAX(B7:D7)</f>
        <v>9</v>
      </c>
      <c r="H7">
        <f t="shared" si="0"/>
        <v>0.8</v>
      </c>
      <c r="I7">
        <f t="shared" si="0"/>
        <v>0.9</v>
      </c>
      <c r="J7">
        <f t="shared" si="0"/>
        <v>0.9</v>
      </c>
    </row>
    <row r="8" spans="1:10">
      <c r="A8" t="s">
        <v>38</v>
      </c>
      <c r="B8">
        <v>7</v>
      </c>
      <c r="C8">
        <v>8</v>
      </c>
      <c r="D8">
        <v>7</v>
      </c>
      <c r="E8">
        <f>MIN(B8:D8)</f>
        <v>7</v>
      </c>
      <c r="F8">
        <f>MEDIAN(B8:D8)</f>
        <v>7</v>
      </c>
      <c r="G8">
        <f>MAX(B8:D8)</f>
        <v>8</v>
      </c>
      <c r="H8">
        <f t="shared" si="0"/>
        <v>0.7</v>
      </c>
      <c r="I8">
        <f t="shared" si="0"/>
        <v>0.7</v>
      </c>
      <c r="J8">
        <f t="shared" si="0"/>
        <v>0.8</v>
      </c>
    </row>
    <row r="9" spans="1:10">
      <c r="A9" t="s">
        <v>39</v>
      </c>
      <c r="B9">
        <v>7</v>
      </c>
      <c r="C9">
        <v>8</v>
      </c>
      <c r="D9">
        <v>9</v>
      </c>
      <c r="E9">
        <f>MIN(B9:D9)</f>
        <v>7</v>
      </c>
      <c r="F9">
        <f>MEDIAN(B9:D9)</f>
        <v>8</v>
      </c>
      <c r="G9">
        <f>MAX(B9:D9)</f>
        <v>9</v>
      </c>
      <c r="H9">
        <f t="shared" si="0"/>
        <v>0.7</v>
      </c>
      <c r="I9">
        <f t="shared" si="0"/>
        <v>0.8</v>
      </c>
      <c r="J9">
        <f t="shared" si="0"/>
        <v>0.9</v>
      </c>
    </row>
    <row r="10" spans="1:10">
      <c r="A10" t="s">
        <v>40</v>
      </c>
      <c r="B10">
        <v>8</v>
      </c>
      <c r="C10">
        <v>7</v>
      </c>
      <c r="D10">
        <v>8</v>
      </c>
      <c r="E10">
        <f>MIN(B10:D10)</f>
        <v>7</v>
      </c>
      <c r="F10">
        <f>MEDIAN(B10:D10)</f>
        <v>8</v>
      </c>
      <c r="G10">
        <f>MAX(B10:D10)</f>
        <v>8</v>
      </c>
      <c r="H10">
        <f t="shared" si="0"/>
        <v>0.7</v>
      </c>
      <c r="I10">
        <f t="shared" si="0"/>
        <v>0.8</v>
      </c>
      <c r="J10">
        <f t="shared" si="0"/>
        <v>0.8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pane ySplit="6" topLeftCell="A7" activePane="bottomLeft" state="frozen"/>
      <selection pane="bottomLeft" sqref="A1:H2"/>
    </sheetView>
  </sheetViews>
  <sheetFormatPr baseColWidth="10" defaultColWidth="8.83203125" defaultRowHeight="15"/>
  <cols>
    <col min="1" max="1" width="34" customWidth="1"/>
    <col min="2" max="2" width="37" customWidth="1"/>
    <col min="3" max="8" width="19" customWidth="1"/>
  </cols>
  <sheetData>
    <row r="1" spans="1:11" ht="25" customHeight="1">
      <c r="A1" s="3" t="s">
        <v>49</v>
      </c>
      <c r="B1" s="3"/>
      <c r="C1" s="3"/>
      <c r="D1" s="3"/>
      <c r="E1" s="3"/>
      <c r="F1" s="3"/>
      <c r="G1" s="3"/>
      <c r="H1" s="3"/>
    </row>
    <row r="2" spans="1:11" ht="25" customHeight="1">
      <c r="A2" s="3"/>
      <c r="B2" s="3"/>
      <c r="C2" s="3"/>
      <c r="D2" s="3"/>
      <c r="E2" s="3"/>
      <c r="F2" s="3"/>
      <c r="G2" s="3"/>
      <c r="H2" s="3"/>
    </row>
    <row r="3" spans="1:11" ht="26" customHeight="1">
      <c r="A3" s="4" t="s">
        <v>50</v>
      </c>
      <c r="B3" s="4"/>
      <c r="C3" s="4"/>
      <c r="D3" s="4"/>
      <c r="E3" s="4"/>
      <c r="F3" s="4"/>
      <c r="G3" s="4"/>
      <c r="H3" s="4"/>
    </row>
    <row r="5" spans="1:11" ht="29" customHeight="1">
      <c r="A5" s="1" t="s">
        <v>51</v>
      </c>
      <c r="B5" s="1" t="s">
        <v>14</v>
      </c>
      <c r="C5" s="1" t="s">
        <v>43</v>
      </c>
      <c r="D5" s="1" t="s">
        <v>44</v>
      </c>
      <c r="E5" s="1" t="s">
        <v>45</v>
      </c>
      <c r="F5" s="1" t="s">
        <v>52</v>
      </c>
      <c r="G5" s="1" t="s">
        <v>53</v>
      </c>
      <c r="H5" s="1" t="s">
        <v>54</v>
      </c>
      <c r="I5" t="s">
        <v>55</v>
      </c>
      <c r="J5" t="s">
        <v>56</v>
      </c>
      <c r="K5" t="s">
        <v>57</v>
      </c>
    </row>
    <row r="6" spans="1:11">
      <c r="A6" t="s">
        <v>6</v>
      </c>
      <c r="B6" t="s">
        <v>36</v>
      </c>
      <c r="C6">
        <f>'Оценки экспертов'!F6</f>
        <v>7</v>
      </c>
      <c r="D6">
        <f>'Оценки экспертов'!G6</f>
        <v>8</v>
      </c>
      <c r="E6">
        <f>'Оценки экспертов'!H6</f>
        <v>8</v>
      </c>
      <c r="F6">
        <f>C6/9</f>
        <v>0.77777777777777779</v>
      </c>
      <c r="G6">
        <f>D6/9</f>
        <v>0.88888888888888884</v>
      </c>
      <c r="H6">
        <f>E6/9</f>
        <v>0.88888888888888884</v>
      </c>
      <c r="I6">
        <f>F6*'Веса критериев'!H6</f>
        <v>0.62222222222222223</v>
      </c>
      <c r="J6">
        <f>G6*'Веса критериев'!I6</f>
        <v>0.71111111111111114</v>
      </c>
      <c r="K6">
        <f>H6*'Веса критериев'!J6</f>
        <v>0.79999999999999993</v>
      </c>
    </row>
    <row r="7" spans="1:11">
      <c r="A7" t="s">
        <v>6</v>
      </c>
      <c r="B7" t="s">
        <v>37</v>
      </c>
      <c r="C7">
        <f>'Оценки экспертов'!F7</f>
        <v>9</v>
      </c>
      <c r="D7">
        <f>'Оценки экспертов'!G7</f>
        <v>9</v>
      </c>
      <c r="E7">
        <f>'Оценки экспертов'!H7</f>
        <v>10</v>
      </c>
      <c r="F7">
        <f>C7/10</f>
        <v>0.9</v>
      </c>
      <c r="G7">
        <f>D7/10</f>
        <v>0.9</v>
      </c>
      <c r="H7">
        <f>E7/10</f>
        <v>1</v>
      </c>
      <c r="I7">
        <f>F7*'Веса критериев'!H7</f>
        <v>0.72000000000000008</v>
      </c>
      <c r="J7">
        <f>G7*'Веса критериев'!I7</f>
        <v>0.81</v>
      </c>
      <c r="K7">
        <f>H7*'Веса критериев'!J7</f>
        <v>0.9</v>
      </c>
    </row>
    <row r="8" spans="1:11">
      <c r="A8" t="s">
        <v>6</v>
      </c>
      <c r="B8" t="s">
        <v>38</v>
      </c>
      <c r="C8">
        <f>'Оценки экспертов'!F8</f>
        <v>8</v>
      </c>
      <c r="D8">
        <f>'Оценки экспертов'!G8</f>
        <v>9</v>
      </c>
      <c r="E8">
        <f>'Оценки экспертов'!H8</f>
        <v>9</v>
      </c>
      <c r="F8">
        <f>C8/9</f>
        <v>0.88888888888888884</v>
      </c>
      <c r="G8">
        <f>D8/9</f>
        <v>1</v>
      </c>
      <c r="H8">
        <f>E8/9</f>
        <v>1</v>
      </c>
      <c r="I8">
        <f>F8*'Веса критериев'!H8</f>
        <v>0.62222222222222212</v>
      </c>
      <c r="J8">
        <f>G8*'Веса критериев'!I8</f>
        <v>0.7</v>
      </c>
      <c r="K8">
        <f>H8*'Веса критериев'!J8</f>
        <v>0.8</v>
      </c>
    </row>
    <row r="9" spans="1:11">
      <c r="A9" t="s">
        <v>6</v>
      </c>
      <c r="B9" t="s">
        <v>39</v>
      </c>
      <c r="C9">
        <f>'Оценки экспертов'!F9</f>
        <v>9</v>
      </c>
      <c r="D9">
        <f>'Оценки экспертов'!G9</f>
        <v>9</v>
      </c>
      <c r="E9">
        <f>'Оценки экспертов'!H9</f>
        <v>10</v>
      </c>
      <c r="F9">
        <f>C9/10</f>
        <v>0.9</v>
      </c>
      <c r="G9">
        <f>D9/10</f>
        <v>0.9</v>
      </c>
      <c r="H9">
        <f>E9/10</f>
        <v>1</v>
      </c>
      <c r="I9">
        <f>F9*'Веса критериев'!H9</f>
        <v>0.63</v>
      </c>
      <c r="J9">
        <f>G9*'Веса критериев'!I9</f>
        <v>0.72000000000000008</v>
      </c>
      <c r="K9">
        <f>H9*'Веса критериев'!J9</f>
        <v>0.9</v>
      </c>
    </row>
    <row r="10" spans="1:11">
      <c r="A10" t="s">
        <v>6</v>
      </c>
      <c r="B10" t="s">
        <v>40</v>
      </c>
      <c r="C10">
        <f>'Оценки экспертов'!F10</f>
        <v>7</v>
      </c>
      <c r="D10">
        <f>'Оценки экспертов'!G10</f>
        <v>7</v>
      </c>
      <c r="E10">
        <f>'Оценки экспертов'!H10</f>
        <v>8</v>
      </c>
      <c r="F10">
        <f>4/E10</f>
        <v>0.5</v>
      </c>
      <c r="G10">
        <f>4/D10</f>
        <v>0.5714285714285714</v>
      </c>
      <c r="H10">
        <f>4/C10</f>
        <v>0.5714285714285714</v>
      </c>
      <c r="I10">
        <f>F10*'Веса критериев'!H10</f>
        <v>0.35</v>
      </c>
      <c r="J10">
        <f>G10*'Веса критериев'!I10</f>
        <v>0.45714285714285713</v>
      </c>
      <c r="K10">
        <f>H10*'Веса критериев'!J10</f>
        <v>0.45714285714285713</v>
      </c>
    </row>
    <row r="11" spans="1:11">
      <c r="A11" t="s">
        <v>8</v>
      </c>
      <c r="B11" t="s">
        <v>36</v>
      </c>
      <c r="C11">
        <f>'Оценки экспертов'!F11</f>
        <v>8</v>
      </c>
      <c r="D11">
        <f>'Оценки экспертов'!G11</f>
        <v>9</v>
      </c>
      <c r="E11">
        <f>'Оценки экспертов'!H11</f>
        <v>9</v>
      </c>
      <c r="F11">
        <f>C11/9</f>
        <v>0.88888888888888884</v>
      </c>
      <c r="G11">
        <f>D11/9</f>
        <v>1</v>
      </c>
      <c r="H11">
        <f>E11/9</f>
        <v>1</v>
      </c>
      <c r="I11">
        <f>F11*'Веса критериев'!H6</f>
        <v>0.71111111111111114</v>
      </c>
      <c r="J11">
        <f>G11*'Веса критериев'!I6</f>
        <v>0.8</v>
      </c>
      <c r="K11">
        <f>H11*'Веса критериев'!J6</f>
        <v>0.9</v>
      </c>
    </row>
    <row r="12" spans="1:11">
      <c r="A12" t="s">
        <v>8</v>
      </c>
      <c r="B12" t="s">
        <v>37</v>
      </c>
      <c r="C12">
        <f>'Оценки экспертов'!F12</f>
        <v>7</v>
      </c>
      <c r="D12">
        <f>'Оценки экспертов'!G12</f>
        <v>7</v>
      </c>
      <c r="E12">
        <f>'Оценки экспертов'!H12</f>
        <v>8</v>
      </c>
      <c r="F12">
        <f>C12/10</f>
        <v>0.7</v>
      </c>
      <c r="G12">
        <f>D12/10</f>
        <v>0.7</v>
      </c>
      <c r="H12">
        <f>E12/10</f>
        <v>0.8</v>
      </c>
      <c r="I12">
        <f>F12*'Веса критериев'!H7</f>
        <v>0.55999999999999994</v>
      </c>
      <c r="J12">
        <f>G12*'Веса критериев'!I7</f>
        <v>0.63</v>
      </c>
      <c r="K12">
        <f>H12*'Веса критериев'!J7</f>
        <v>0.72000000000000008</v>
      </c>
    </row>
    <row r="13" spans="1:11">
      <c r="A13" t="s">
        <v>8</v>
      </c>
      <c r="B13" t="s">
        <v>38</v>
      </c>
      <c r="C13">
        <f>'Оценки экспертов'!F13</f>
        <v>7</v>
      </c>
      <c r="D13">
        <f>'Оценки экспертов'!G13</f>
        <v>7</v>
      </c>
      <c r="E13">
        <f>'Оценки экспертов'!H13</f>
        <v>8</v>
      </c>
      <c r="F13">
        <f>C13/9</f>
        <v>0.77777777777777779</v>
      </c>
      <c r="G13">
        <f>D13/9</f>
        <v>0.77777777777777779</v>
      </c>
      <c r="H13">
        <f>E13/9</f>
        <v>0.88888888888888884</v>
      </c>
      <c r="I13">
        <f>F13*'Веса критериев'!H8</f>
        <v>0.5444444444444444</v>
      </c>
      <c r="J13">
        <f>G13*'Веса критериев'!I8</f>
        <v>0.5444444444444444</v>
      </c>
      <c r="K13">
        <f>H13*'Веса критериев'!J8</f>
        <v>0.71111111111111114</v>
      </c>
    </row>
    <row r="14" spans="1:11">
      <c r="A14" t="s">
        <v>8</v>
      </c>
      <c r="B14" t="s">
        <v>39</v>
      </c>
      <c r="C14">
        <f>'Оценки экспертов'!F14</f>
        <v>7</v>
      </c>
      <c r="D14">
        <f>'Оценки экспертов'!G14</f>
        <v>7</v>
      </c>
      <c r="E14">
        <f>'Оценки экспертов'!H14</f>
        <v>8</v>
      </c>
      <c r="F14">
        <f>C14/10</f>
        <v>0.7</v>
      </c>
      <c r="G14">
        <f>D14/10</f>
        <v>0.7</v>
      </c>
      <c r="H14">
        <f>E14/10</f>
        <v>0.8</v>
      </c>
      <c r="I14">
        <f>F14*'Веса критериев'!H9</f>
        <v>0.48999999999999994</v>
      </c>
      <c r="J14">
        <f>G14*'Веса критериев'!I9</f>
        <v>0.55999999999999994</v>
      </c>
      <c r="K14">
        <f>H14*'Веса критериев'!J9</f>
        <v>0.72000000000000008</v>
      </c>
    </row>
    <row r="15" spans="1:11">
      <c r="A15" t="s">
        <v>8</v>
      </c>
      <c r="B15" t="s">
        <v>40</v>
      </c>
      <c r="C15">
        <f>'Оценки экспертов'!F15</f>
        <v>4</v>
      </c>
      <c r="D15">
        <f>'Оценки экспертов'!G15</f>
        <v>5</v>
      </c>
      <c r="E15">
        <f>'Оценки экспертов'!H15</f>
        <v>5</v>
      </c>
      <c r="F15">
        <f>4/E15</f>
        <v>0.8</v>
      </c>
      <c r="G15">
        <f>4/D15</f>
        <v>0.8</v>
      </c>
      <c r="H15">
        <f>4/C15</f>
        <v>1</v>
      </c>
      <c r="I15">
        <f>F15*'Веса критериев'!H10</f>
        <v>0.55999999999999994</v>
      </c>
      <c r="J15">
        <f>G15*'Веса критериев'!I10</f>
        <v>0.64000000000000012</v>
      </c>
      <c r="K15">
        <f>H15*'Веса критериев'!J10</f>
        <v>0.8</v>
      </c>
    </row>
    <row r="16" spans="1:11">
      <c r="A16" t="s">
        <v>10</v>
      </c>
      <c r="B16" t="s">
        <v>36</v>
      </c>
      <c r="C16">
        <f>'Оценки экспертов'!F16</f>
        <v>7</v>
      </c>
      <c r="D16">
        <f>'Оценки экспертов'!G16</f>
        <v>7</v>
      </c>
      <c r="E16">
        <f>'Оценки экспертов'!H16</f>
        <v>8</v>
      </c>
      <c r="F16">
        <f>C16/9</f>
        <v>0.77777777777777779</v>
      </c>
      <c r="G16">
        <f>D16/9</f>
        <v>0.77777777777777779</v>
      </c>
      <c r="H16">
        <f>E16/9</f>
        <v>0.88888888888888884</v>
      </c>
      <c r="I16">
        <f>F16*'Веса критериев'!H6</f>
        <v>0.62222222222222223</v>
      </c>
      <c r="J16">
        <f>G16*'Веса критериев'!I6</f>
        <v>0.62222222222222223</v>
      </c>
      <c r="K16">
        <f>H16*'Веса критериев'!J6</f>
        <v>0.79999999999999993</v>
      </c>
    </row>
    <row r="17" spans="1:11">
      <c r="A17" t="s">
        <v>10</v>
      </c>
      <c r="B17" t="s">
        <v>37</v>
      </c>
      <c r="C17">
        <f>'Оценки экспертов'!F17</f>
        <v>8</v>
      </c>
      <c r="D17">
        <f>'Оценки экспертов'!G17</f>
        <v>8</v>
      </c>
      <c r="E17">
        <f>'Оценки экспертов'!H17</f>
        <v>9</v>
      </c>
      <c r="F17">
        <f>C17/10</f>
        <v>0.8</v>
      </c>
      <c r="G17">
        <f>D17/10</f>
        <v>0.8</v>
      </c>
      <c r="H17">
        <f>E17/10</f>
        <v>0.9</v>
      </c>
      <c r="I17">
        <f>F17*'Веса критериев'!H7</f>
        <v>0.64000000000000012</v>
      </c>
      <c r="J17">
        <f>G17*'Веса критериев'!I7</f>
        <v>0.72000000000000008</v>
      </c>
      <c r="K17">
        <f>H17*'Веса критериев'!J7</f>
        <v>0.81</v>
      </c>
    </row>
    <row r="18" spans="1:11">
      <c r="A18" t="s">
        <v>10</v>
      </c>
      <c r="B18" t="s">
        <v>38</v>
      </c>
      <c r="C18">
        <f>'Оценки экспертов'!F18</f>
        <v>8</v>
      </c>
      <c r="D18">
        <f>'Оценки экспертов'!G18</f>
        <v>9</v>
      </c>
      <c r="E18">
        <f>'Оценки экспертов'!H18</f>
        <v>9</v>
      </c>
      <c r="F18">
        <f>C18/9</f>
        <v>0.88888888888888884</v>
      </c>
      <c r="G18">
        <f>D18/9</f>
        <v>1</v>
      </c>
      <c r="H18">
        <f>E18/9</f>
        <v>1</v>
      </c>
      <c r="I18">
        <f>F18*'Веса критериев'!H8</f>
        <v>0.62222222222222212</v>
      </c>
      <c r="J18">
        <f>G18*'Веса критериев'!I8</f>
        <v>0.7</v>
      </c>
      <c r="K18">
        <f>H18*'Веса критериев'!J8</f>
        <v>0.8</v>
      </c>
    </row>
    <row r="19" spans="1:11">
      <c r="A19" t="s">
        <v>10</v>
      </c>
      <c r="B19" t="s">
        <v>39</v>
      </c>
      <c r="C19">
        <f>'Оценки экспертов'!F19</f>
        <v>9</v>
      </c>
      <c r="D19">
        <f>'Оценки экспертов'!G19</f>
        <v>9</v>
      </c>
      <c r="E19">
        <f>'Оценки экспертов'!H19</f>
        <v>9</v>
      </c>
      <c r="F19">
        <f>C19/10</f>
        <v>0.9</v>
      </c>
      <c r="G19">
        <f>D19/10</f>
        <v>0.9</v>
      </c>
      <c r="H19">
        <f>E19/10</f>
        <v>0.9</v>
      </c>
      <c r="I19">
        <f>F19*'Веса критериев'!H9</f>
        <v>0.63</v>
      </c>
      <c r="J19">
        <f>G19*'Веса критериев'!I9</f>
        <v>0.72000000000000008</v>
      </c>
      <c r="K19">
        <f>H19*'Веса критериев'!J9</f>
        <v>0.81</v>
      </c>
    </row>
    <row r="20" spans="1:11">
      <c r="A20" t="s">
        <v>10</v>
      </c>
      <c r="B20" t="s">
        <v>40</v>
      </c>
      <c r="C20">
        <f>'Оценки экспертов'!F20</f>
        <v>6</v>
      </c>
      <c r="D20">
        <f>'Оценки экспертов'!G20</f>
        <v>7</v>
      </c>
      <c r="E20">
        <f>'Оценки экспертов'!H20</f>
        <v>7</v>
      </c>
      <c r="F20">
        <f>4/E20</f>
        <v>0.5714285714285714</v>
      </c>
      <c r="G20">
        <f>4/D20</f>
        <v>0.5714285714285714</v>
      </c>
      <c r="H20">
        <f>4/C20</f>
        <v>0.66666666666666663</v>
      </c>
      <c r="I20">
        <f>F20*'Веса критериев'!H10</f>
        <v>0.39999999999999997</v>
      </c>
      <c r="J20">
        <f>G20*'Веса критериев'!I10</f>
        <v>0.45714285714285713</v>
      </c>
      <c r="K20">
        <f>H20*'Веса критериев'!J10</f>
        <v>0.53333333333333333</v>
      </c>
    </row>
    <row r="21" spans="1:11">
      <c r="A21" t="s">
        <v>12</v>
      </c>
      <c r="B21" t="s">
        <v>36</v>
      </c>
      <c r="C21">
        <f>'Оценки экспертов'!F21</f>
        <v>7</v>
      </c>
      <c r="D21">
        <f>'Оценки экспертов'!G21</f>
        <v>8</v>
      </c>
      <c r="E21">
        <f>'Оценки экспертов'!H21</f>
        <v>8</v>
      </c>
      <c r="F21">
        <f>C21/9</f>
        <v>0.77777777777777779</v>
      </c>
      <c r="G21">
        <f>D21/9</f>
        <v>0.88888888888888884</v>
      </c>
      <c r="H21">
        <f>E21/9</f>
        <v>0.88888888888888884</v>
      </c>
      <c r="I21">
        <f>F21*'Веса критериев'!H6</f>
        <v>0.62222222222222223</v>
      </c>
      <c r="J21">
        <f>G21*'Веса критериев'!I6</f>
        <v>0.71111111111111114</v>
      </c>
      <c r="K21">
        <f>H21*'Веса критериев'!J6</f>
        <v>0.79999999999999993</v>
      </c>
    </row>
    <row r="22" spans="1:11">
      <c r="A22" t="s">
        <v>12</v>
      </c>
      <c r="B22" t="s">
        <v>37</v>
      </c>
      <c r="C22">
        <f>'Оценки экспертов'!F22</f>
        <v>8</v>
      </c>
      <c r="D22">
        <f>'Оценки экспертов'!G22</f>
        <v>9</v>
      </c>
      <c r="E22">
        <f>'Оценки экспертов'!H22</f>
        <v>9</v>
      </c>
      <c r="F22">
        <f>C22/10</f>
        <v>0.8</v>
      </c>
      <c r="G22">
        <f>D22/10</f>
        <v>0.9</v>
      </c>
      <c r="H22">
        <f>E22/10</f>
        <v>0.9</v>
      </c>
      <c r="I22">
        <f>F22*'Веса критериев'!H7</f>
        <v>0.64000000000000012</v>
      </c>
      <c r="J22">
        <f>G22*'Веса критериев'!I7</f>
        <v>0.81</v>
      </c>
      <c r="K22">
        <f>H22*'Веса критериев'!J7</f>
        <v>0.81</v>
      </c>
    </row>
    <row r="23" spans="1:11">
      <c r="A23" t="s">
        <v>12</v>
      </c>
      <c r="B23" t="s">
        <v>38</v>
      </c>
      <c r="C23">
        <f>'Оценки экспертов'!F23</f>
        <v>8</v>
      </c>
      <c r="D23">
        <f>'Оценки экспертов'!G23</f>
        <v>8</v>
      </c>
      <c r="E23">
        <f>'Оценки экспертов'!H23</f>
        <v>9</v>
      </c>
      <c r="F23">
        <f>C23/9</f>
        <v>0.88888888888888884</v>
      </c>
      <c r="G23">
        <f>D23/9</f>
        <v>0.88888888888888884</v>
      </c>
      <c r="H23">
        <f>E23/9</f>
        <v>1</v>
      </c>
      <c r="I23">
        <f>F23*'Веса критериев'!H8</f>
        <v>0.62222222222222212</v>
      </c>
      <c r="J23">
        <f>G23*'Веса критериев'!I8</f>
        <v>0.62222222222222212</v>
      </c>
      <c r="K23">
        <f>H23*'Веса критериев'!J8</f>
        <v>0.8</v>
      </c>
    </row>
    <row r="24" spans="1:11">
      <c r="A24" t="s">
        <v>12</v>
      </c>
      <c r="B24" t="s">
        <v>39</v>
      </c>
      <c r="C24">
        <f>'Оценки экспертов'!F24</f>
        <v>8</v>
      </c>
      <c r="D24">
        <f>'Оценки экспертов'!G24</f>
        <v>9</v>
      </c>
      <c r="E24">
        <f>'Оценки экспертов'!H24</f>
        <v>9</v>
      </c>
      <c r="F24">
        <f>C24/10</f>
        <v>0.8</v>
      </c>
      <c r="G24">
        <f>D24/10</f>
        <v>0.9</v>
      </c>
      <c r="H24">
        <f>E24/10</f>
        <v>0.9</v>
      </c>
      <c r="I24">
        <f>F24*'Веса критериев'!H9</f>
        <v>0.55999999999999994</v>
      </c>
      <c r="J24">
        <f>G24*'Веса критериев'!I9</f>
        <v>0.72000000000000008</v>
      </c>
      <c r="K24">
        <f>H24*'Веса критериев'!J9</f>
        <v>0.81</v>
      </c>
    </row>
    <row r="25" spans="1:11">
      <c r="A25" t="s">
        <v>12</v>
      </c>
      <c r="B25" t="s">
        <v>40</v>
      </c>
      <c r="C25">
        <f>'Оценки экспертов'!F25</f>
        <v>6</v>
      </c>
      <c r="D25">
        <f>'Оценки экспертов'!G25</f>
        <v>6</v>
      </c>
      <c r="E25">
        <f>'Оценки экспертов'!H25</f>
        <v>7</v>
      </c>
      <c r="F25">
        <f>4/E25</f>
        <v>0.5714285714285714</v>
      </c>
      <c r="G25">
        <f>4/D25</f>
        <v>0.66666666666666663</v>
      </c>
      <c r="H25">
        <f>4/C25</f>
        <v>0.66666666666666663</v>
      </c>
      <c r="I25">
        <f>F25*'Веса критериев'!H10</f>
        <v>0.39999999999999997</v>
      </c>
      <c r="J25">
        <f>G25*'Веса критериев'!I10</f>
        <v>0.53333333333333333</v>
      </c>
      <c r="K25">
        <f>H25*'Веса критериев'!J10</f>
        <v>0.53333333333333333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tabSelected="1" workbookViewId="0">
      <pane ySplit="6" topLeftCell="A7" activePane="bottomLeft" state="frozen"/>
      <selection pane="bottomLeft" activeCell="C16" sqref="C16"/>
    </sheetView>
  </sheetViews>
  <sheetFormatPr baseColWidth="10" defaultColWidth="8.83203125" defaultRowHeight="15"/>
  <cols>
    <col min="1" max="1" width="39" customWidth="1"/>
    <col min="2" max="8" width="19" customWidth="1"/>
  </cols>
  <sheetData>
    <row r="1" spans="1:8" ht="25" customHeight="1">
      <c r="A1" s="3" t="s">
        <v>58</v>
      </c>
      <c r="B1" s="3"/>
      <c r="C1" s="3"/>
      <c r="D1" s="3"/>
      <c r="E1" s="3"/>
      <c r="F1" s="3"/>
      <c r="G1" s="3"/>
      <c r="H1" s="3"/>
    </row>
    <row r="2" spans="1:8" ht="25" customHeight="1">
      <c r="A2" s="3"/>
      <c r="B2" s="3"/>
      <c r="C2" s="3"/>
      <c r="D2" s="3"/>
      <c r="E2" s="3"/>
      <c r="F2" s="3"/>
      <c r="G2" s="3"/>
      <c r="H2" s="3"/>
    </row>
    <row r="3" spans="1:8" ht="26" customHeight="1">
      <c r="A3" s="4" t="s">
        <v>59</v>
      </c>
      <c r="B3" s="4"/>
      <c r="C3" s="4"/>
      <c r="D3" s="4"/>
      <c r="E3" s="4"/>
      <c r="F3" s="4"/>
      <c r="G3" s="4"/>
      <c r="H3" s="4"/>
    </row>
    <row r="5" spans="1:8" ht="29" customHeight="1">
      <c r="A5" s="1" t="s">
        <v>51</v>
      </c>
      <c r="B5" s="1" t="s">
        <v>60</v>
      </c>
      <c r="C5" s="1" t="s">
        <v>61</v>
      </c>
      <c r="D5" s="1" t="s">
        <v>62</v>
      </c>
      <c r="E5" s="1" t="s">
        <v>63</v>
      </c>
    </row>
    <row r="6" spans="1:8">
      <c r="A6" t="s">
        <v>6</v>
      </c>
      <c r="B6" s="2">
        <f>SQRT(((1-Нормализация!I6)^2+(1-Нормализация!J6)^2+(1-Нормализация!K6)^2)/3)+SQRT(((1-Нормализация!I7)^2+(1-Нормализация!J7)^2+(1-Нормализация!K7)^2)/3)+SQRT(((1-Нормализация!I8)^2+(1-Нормализация!J8)^2+(1-Нормализация!K8)^2)/3)+SQRT(((1-Нормализация!I9)^2+(1-Нормализация!J9)^2+(1-Нормализация!K9)^2)/3)+SQRT(((1-Нормализация!I10)^2+(1-Нормализация!J10)^2+(1-Нормализация!K10)^2)/3)</f>
        <v>1.6579024617415483</v>
      </c>
      <c r="C6" s="2">
        <f>SQRT(((Нормализация!I6)^2+(Нормализация!J6)^2+(Нормализация!K6)^2)/3)+SQRT(((Нормализация!I7)^2+(Нормализация!J7)^2+(Нормализация!K7)^2)/3)+SQRT(((Нормализация!I8)^2+(Нормализация!J8)^2+(Нормализация!K8)^2)/3)+SQRT(((Нормализация!I9)^2+(Нормализация!J9)^2+(Нормализация!K9)^2)/3)+SQRT(((Нормализация!I10)^2+(Нормализация!J10)^2+(Нормализация!K10)^2)/3)</f>
        <v>3.4220696624243221</v>
      </c>
      <c r="D6" s="2">
        <f>C6/(B6+C6)</f>
        <v>0.67363945682796933</v>
      </c>
      <c r="E6">
        <f>RANK(D6,$D$6:$D$9,0)</f>
        <v>1</v>
      </c>
    </row>
    <row r="7" spans="1:8">
      <c r="A7" t="s">
        <v>8</v>
      </c>
      <c r="B7" s="2">
        <f>SQRT(((1-Нормализация!I11)^2+(1-Нормализация!J11)^2+(1-Нормализация!K11)^2)/3)+SQRT(((1-Нормализация!I12)^2+(1-Нормализация!J12)^2+(1-Нормализация!K12)^2)/3)+SQRT(((1-Нормализация!I13)^2+(1-Нормализация!J13)^2+(1-Нормализация!K13)^2)/3)+SQRT(((1-Нормализация!I14)^2+(1-Нормализация!J14)^2+(1-Нормализация!K14)^2)/3)+SQRT(((1-Нормализация!I15)^2+(1-Нормализация!J15)^2+(1-Нормализация!K15)^2)/3)</f>
        <v>1.7568429950008939</v>
      </c>
      <c r="C7" s="2">
        <f>SQRT(((Нормализация!I11)^2+(Нормализация!J11)^2+(Нормализация!K11)^2)/3)+SQRT(((Нормализация!I12)^2+(Нормализация!J12)^2+(Нормализация!K12)^2)/3)+SQRT(((Нормализация!I13)^2+(Нормализация!J13)^2+(Нормализация!K13)^2)/3)+SQRT(((Нормализация!I14)^2+(Нормализация!J14)^2+(Нормализация!K14)^2)/3)+SQRT(((Нормализация!I15)^2+(Нормализация!J15)^2+(Нормализация!K15)^2)/3)</f>
        <v>3.3244406325178408</v>
      </c>
      <c r="D7" s="2">
        <f>C7/(B7+C7)</f>
        <v>0.6542521292284591</v>
      </c>
      <c r="E7">
        <f>RANK(D7,$D$6:$D$9,0)</f>
        <v>4</v>
      </c>
    </row>
    <row r="8" spans="1:8">
      <c r="A8" t="s">
        <v>10</v>
      </c>
      <c r="B8" s="2">
        <f>SQRT(((1-Нормализация!I16)^2+(1-Нормализация!J16)^2+(1-Нормализация!K16)^2)/3)+SQRT(((1-Нормализация!I17)^2+(1-Нормализация!J17)^2+(1-Нормализация!K17)^2)/3)+SQRT(((1-Нормализация!I18)^2+(1-Нормализация!J18)^2+(1-Нормализация!K18)^2)/3)+SQRT(((1-Нормализация!I19)^2+(1-Нормализация!J19)^2+(1-Нормализация!K19)^2)/3)+SQRT(((1-Нормализация!I20)^2+(1-Нормализация!J20)^2+(1-Нормализация!K20)^2)/3)</f>
        <v>1.7448757864703692</v>
      </c>
      <c r="C8" s="2">
        <f>SQRT(((Нормализация!I16)^2+(Нормализация!J16)^2+(Нормализация!K16)^2)/3)+SQRT(((Нормализация!I17)^2+(Нормализация!J17)^2+(Нормализация!K17)^2)/3)+SQRT(((Нормализация!I18)^2+(Нормализация!J18)^2+(Нормализация!K18)^2)/3)+SQRT(((Нормализация!I19)^2+(Нормализация!J19)^2+(Нормализация!K19)^2)/3)+SQRT(((Нормализация!I20)^2+(Нормализация!J20)^2+(Нормализация!K20)^2)/3)</f>
        <v>3.3148535359543025</v>
      </c>
      <c r="D8" s="2">
        <f>C8/(B8+C8)</f>
        <v>0.65514444048674769</v>
      </c>
      <c r="E8">
        <f>RANK(D8,$D$6:$D$9,0)</f>
        <v>3</v>
      </c>
    </row>
    <row r="9" spans="1:8">
      <c r="A9" t="s">
        <v>12</v>
      </c>
      <c r="B9" s="2">
        <f>SQRT(((1-Нормализация!I21)^2+(1-Нормализация!J21)^2+(1-Нормализация!K21)^2)/3)+SQRT(((1-Нормализация!I22)^2+(1-Нормализация!J22)^2+(1-Нормализация!K22)^2)/3)+SQRT(((1-Нормализация!I23)^2+(1-Нормализация!J23)^2+(1-Нормализация!K23)^2)/3)+SQRT(((1-Нормализация!I24)^2+(1-Нормализация!J24)^2+(1-Нормализация!K24)^2)/3)+SQRT(((1-Нормализация!I25)^2+(1-Нормализация!J25)^2+(1-Нормализация!K25)^2)/3)</f>
        <v>1.7220131673955736</v>
      </c>
      <c r="C9" s="2">
        <f>SQRT(((Нормализация!I21)^2+(Нормализация!J21)^2+(Нормализация!K21)^2)/3)+SQRT(((Нормализация!I22)^2+(Нормализация!J22)^2+(Нормализация!K22)^2)/3)+SQRT(((Нормализация!I23)^2+(Нормализация!J23)^2+(Нормализация!K23)^2)/3)+SQRT(((Нормализация!I24)^2+(Нормализация!J24)^2+(Нормализация!K24)^2)/3)+SQRT(((Нормализация!I25)^2+(Нормализация!J25)^2+(Нормализация!K25)^2)/3)</f>
        <v>3.3562132956897499</v>
      </c>
      <c r="D9" s="2">
        <f>C9/(B9+C9)</f>
        <v>0.66090264388300857</v>
      </c>
      <c r="E9">
        <f>RANK(D9,$D$6:$D$9,0)</f>
        <v>2</v>
      </c>
    </row>
    <row r="12" spans="1:8">
      <c r="A12" t="s">
        <v>64</v>
      </c>
    </row>
  </sheetData>
  <mergeCells count="2">
    <mergeCell ref="A1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Обзор</vt:lpstr>
      <vt:lpstr>Оценки экспертов</vt:lpstr>
      <vt:lpstr>Веса критериев</vt:lpstr>
      <vt:lpstr>Нормализация</vt:lpstr>
      <vt:lpstr>Итоги TOPSIS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Rode</cp:lastModifiedBy>
  <dcterms:modified xsi:type="dcterms:W3CDTF">2026-10-13T14:22:15Z</dcterms:modified>
</cp:coreProperties>
</file>